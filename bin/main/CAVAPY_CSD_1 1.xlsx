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hanna Gutierrez\eclipse-workspace\2021.12\Jira\TestCase_Import\src\main\resources\"/>
    </mc:Choice>
  </mc:AlternateContent>
  <xr:revisionPtr revIDLastSave="0" documentId="13_ncr:1_{C422ADFF-2A0C-4C74-8BB6-AE7494BCBE02}" xr6:coauthVersionLast="47" xr6:coauthVersionMax="47" xr10:uidLastSave="{00000000-0000-0000-0000-000000000000}"/>
  <bookViews>
    <workbookView xWindow="-108" yWindow="-108" windowWidth="23256" windowHeight="12456" tabRatio="716" firstSheet="1" activeTab="8" xr2:uid="{00000000-000D-0000-FFFF-FFFF00000000}"/>
  </bookViews>
  <sheets>
    <sheet name="Audit Trail" sheetId="38" r:id="rId1"/>
    <sheet name="Description" sheetId="37" r:id="rId2"/>
    <sheet name="Execution Metrics" sheetId="33" r:id="rId3"/>
    <sheet name="Defect Metrics 1" sheetId="34" r:id="rId4"/>
    <sheet name="Defect Metrics 2" sheetId="35" r:id="rId5"/>
    <sheet name="Test Suite" sheetId="30" r:id="rId6"/>
    <sheet name="JIRA_QP" sheetId="101" r:id="rId7"/>
    <sheet name="Perfil_DATA" sheetId="43" r:id="rId8"/>
    <sheet name="Usuario_DATA" sheetId="40" r:id="rId9"/>
    <sheet name="PolíticaContraseña_DATA" sheetId="44" r:id="rId10"/>
    <sheet name="PoderLegalUsuario_DATA" sheetId="45" r:id="rId11"/>
    <sheet name="PoderLegalAccesoUsuario_DATA" sheetId="46" r:id="rId12"/>
    <sheet name="PoderLegalCuentas_DATA" sheetId="47" r:id="rId13"/>
    <sheet name="PoderLegalAccesoCuentas_DATA" sheetId="48" r:id="rId14"/>
    <sheet name="Institucion_DATA" sheetId="41" r:id="rId15"/>
    <sheet name="Participante_DATA" sheetId="42" r:id="rId16"/>
    <sheet name="Emisor_DATA" sheetId="49" r:id="rId17"/>
    <sheet name="BancoLiquidador_DATA" sheetId="50" r:id="rId18"/>
    <sheet name="TechoComercial_DATA" sheetId="51" r:id="rId19"/>
    <sheet name="Regulador_DATA" sheetId="52" r:id="rId20"/>
    <sheet name="Cliente_DATA" sheetId="53" r:id="rId21"/>
    <sheet name="ProgramaEmisión_DATA" sheetId="54" r:id="rId22"/>
    <sheet name="CategoríaInstrumento_DATA" sheetId="55" r:id="rId23"/>
    <sheet name="TítuloValor_DATA" sheetId="56" r:id="rId24"/>
    <sheet name="ÍndiceVinculado_DATA" sheetId="57" r:id="rId25"/>
    <sheet name="DatoÍndiceVinculado_DATA" sheetId="58" r:id="rId26"/>
    <sheet name="CurvaRendimiento_DATA" sheetId="59" r:id="rId27"/>
    <sheet name="ImportarCurvaRendimiento_DATA" sheetId="60" r:id="rId28"/>
    <sheet name="CuentaValor_DATA" sheetId="61" r:id="rId29"/>
    <sheet name="CuentaEfectivo_DATA" sheetId="62" r:id="rId30"/>
    <sheet name="Subasta_DATA" sheetId="63" r:id="rId31"/>
    <sheet name="OfertasSubasta_DATA" sheetId="64" r:id="rId32"/>
    <sheet name="AcciónCorporativa_DATA" sheetId="65" r:id="rId33"/>
    <sheet name="SistemaLiquidaciónEfectivo_DATA" sheetId="66" r:id="rId34"/>
    <sheet name="CatálogodeParámetros_DATA" sheetId="67" r:id="rId35"/>
    <sheet name="ParámetrosdeConfiguración_DATA" sheetId="68" r:id="rId36"/>
    <sheet name="CódigosdeOperación_DATA" sheetId="69" r:id="rId37"/>
    <sheet name="EntregaLibrePago_DATA" sheetId="70" r:id="rId38"/>
    <sheet name="CompraVentaEcP_DATA" sheetId="71" r:id="rId39"/>
    <sheet name="AcuerdosdeRecompra_DATA" sheetId="72" r:id="rId40"/>
    <sheet name="CambioFechaRepo_DATA" sheetId="73" r:id="rId41"/>
    <sheet name="SustituciónColateralRepo_DATA" sheetId="74" r:id="rId42"/>
    <sheet name="Pignoraciones_DATA" sheetId="75" r:id="rId43"/>
    <sheet name="SustituciónColateralPigno_DATA" sheetId="76" r:id="rId44"/>
    <sheet name="LiberaciónPignoración_DATA" sheetId="77" r:id="rId45"/>
    <sheet name="EjecuciónPignoración_DATA" sheetId="78" r:id="rId46"/>
    <sheet name="CambioFechaPignoración_DATA" sheetId="79" r:id="rId47"/>
    <sheet name="Emisión_DATA" sheetId="80" r:id="rId48"/>
    <sheet name="Redención_DATA" sheetId="81" r:id="rId49"/>
    <sheet name="Intercambio_DATA" sheetId="82" r:id="rId50"/>
    <sheet name="DesinversiónAnticipada_DATA" sheetId="83" r:id="rId51"/>
    <sheet name="RegistrodeEmbargos_DATA" sheetId="84" r:id="rId52"/>
    <sheet name="DescuponarConsolidar_DATA" sheetId="85" r:id="rId53"/>
    <sheet name="CSDExternoEntrada_DATA" sheetId="97" r:id="rId54"/>
    <sheet name="CSDExternoSalida_DATA" sheetId="98" r:id="rId55"/>
    <sheet name="MovimientoIntraposición_DATA" sheetId="99" r:id="rId56"/>
    <sheet name="RepoIntradíaBancoCentral_DATA" sheetId="87" r:id="rId57"/>
    <sheet name="CalificacióndeRiesgo_DATA" sheetId="88" r:id="rId58"/>
    <sheet name="CalificacióndelEmisor_DATA" sheetId="96" r:id="rId59"/>
    <sheet name="ElegibilidadContraparte_DATA" sheetId="89" r:id="rId60"/>
    <sheet name="ElegibilidadTítulos_DATA" sheetId="90" r:id="rId61"/>
    <sheet name="EsquemaImpuestos_DATA" sheetId="91" r:id="rId62"/>
    <sheet name="Calendario_DATA" sheetId="92" r:id="rId63"/>
    <sheet name="Horario_DATA" sheetId="93" r:id="rId64"/>
    <sheet name="TasadeCambio_DATA" sheetId="94" r:id="rId65"/>
    <sheet name="Alertas_DATA" sheetId="95" r:id="rId66"/>
    <sheet name="Facturación_DATA" sheetId="100" r:id="rId67"/>
  </sheets>
  <definedNames>
    <definedName name="_1__Initials_of_Montran_Quality_Assurance_inspector" localSheetId="0">#REF!</definedName>
    <definedName name="_1__Initials_of_Montran_Quality_Assurance_inspector" localSheetId="3">#REF!</definedName>
    <definedName name="_1__Initials_of_Montran_Quality_Assurance_inspector" localSheetId="4">#REF!</definedName>
    <definedName name="_1__Initials_of_Montran_Quality_Assurance_inspector" localSheetId="1">#REF!</definedName>
    <definedName name="_1__Initials_of_Montran_Quality_Assurance_inspector" localSheetId="2">#REF!</definedName>
    <definedName name="_1__Initials_of_Montran_Quality_Assurance_inspector" localSheetId="5">#REF!</definedName>
    <definedName name="_1__Initials_of_Montran_Quality_Assurance_inspector">#REF!</definedName>
    <definedName name="_xlnm._FilterDatabase" localSheetId="5" hidden="1">'Test Suite'!$A$2:$AE$46</definedName>
    <definedName name="_Toc519249740" localSheetId="5">'Test Suite'!#REF!</definedName>
    <definedName name="_Toc519249746" localSheetId="5">'Test Suite'!#REF!</definedName>
    <definedName name="ACmail" localSheetId="0">#REF!</definedName>
    <definedName name="ACmail">#REF!</definedName>
    <definedName name="ACphone" localSheetId="0">#REF!</definedName>
    <definedName name="ACphone">#REF!</definedName>
    <definedName name="AcS" localSheetId="0">#REF!</definedName>
    <definedName name="AcS">#REF!</definedName>
    <definedName name="AcSmail" localSheetId="0">#REF!</definedName>
    <definedName name="AcSmail">#REF!</definedName>
    <definedName name="AcSphone" localSheetId="0">#REF!</definedName>
    <definedName name="AcSphone">#REF!</definedName>
    <definedName name="AGmail" localSheetId="0">#REF!</definedName>
    <definedName name="AGmail">#REF!</definedName>
    <definedName name="AGphone" localSheetId="0">#REF!</definedName>
    <definedName name="AGphone">#REF!</definedName>
    <definedName name="AnGlmail" localSheetId="0">#REF!</definedName>
    <definedName name="AnGlmail">#REF!</definedName>
    <definedName name="AnGlphone" localSheetId="0">#REF!</definedName>
    <definedName name="AnGlphone">#REF!</definedName>
    <definedName name="APmail" localSheetId="0">#REF!</definedName>
    <definedName name="APmail">#REF!</definedName>
    <definedName name="APopmail" localSheetId="0">#REF!</definedName>
    <definedName name="APopmail">#REF!</definedName>
    <definedName name="APopphone" localSheetId="0">#REF!</definedName>
    <definedName name="APopphone">#REF!</definedName>
    <definedName name="APphone" localSheetId="0">#REF!</definedName>
    <definedName name="APphone">#REF!</definedName>
    <definedName name="ARmail" localSheetId="0">#REF!</definedName>
    <definedName name="ARmail">#REF!</definedName>
    <definedName name="ARphone" localSheetId="0">#REF!</definedName>
    <definedName name="ARphone">#REF!</definedName>
    <definedName name="ASmail" localSheetId="0">#REF!</definedName>
    <definedName name="ASmail">#REF!</definedName>
    <definedName name="ASphone" localSheetId="0">#REF!</definedName>
    <definedName name="ASphone">#REF!</definedName>
    <definedName name="Aspmail" localSheetId="0">#REF!</definedName>
    <definedName name="Aspmail">#REF!</definedName>
    <definedName name="AsPphone" localSheetId="0">#REF!</definedName>
    <definedName name="AsPphone">#REF!</definedName>
    <definedName name="BDmail" localSheetId="0">#REF!</definedName>
    <definedName name="BDmail">#REF!</definedName>
    <definedName name="BDphone" localSheetId="0">#REF!</definedName>
    <definedName name="BDphone">#REF!</definedName>
    <definedName name="BPmail" localSheetId="0">#REF!</definedName>
    <definedName name="BPmail">#REF!</definedName>
    <definedName name="BPphone" localSheetId="0">#REF!</definedName>
    <definedName name="BPphone">#REF!</definedName>
    <definedName name="BQmail" localSheetId="0">#REF!</definedName>
    <definedName name="BQmail">#REF!</definedName>
    <definedName name="BQphone" localSheetId="0">#REF!</definedName>
    <definedName name="BQphone">#REF!</definedName>
    <definedName name="CaTmail" localSheetId="0">#REF!</definedName>
    <definedName name="CaTmail">#REF!</definedName>
    <definedName name="CaTphone" localSheetId="0">#REF!</definedName>
    <definedName name="CaTphone">#REF!</definedName>
    <definedName name="CCmail" localSheetId="0">#REF!</definedName>
    <definedName name="CCmail">#REF!</definedName>
    <definedName name="CCphone" localSheetId="0">#REF!</definedName>
    <definedName name="CCphone">#REF!</definedName>
    <definedName name="CeLeemail" localSheetId="0">#REF!</definedName>
    <definedName name="CeLeemail">#REF!</definedName>
    <definedName name="CeLemail" localSheetId="0">#REF!</definedName>
    <definedName name="CeLemail">#REF!</definedName>
    <definedName name="CeLephone" localSheetId="0">#REF!</definedName>
    <definedName name="CeLephone">#REF!</definedName>
    <definedName name="CiTmail" localSheetId="0">#REF!</definedName>
    <definedName name="CiTmail">#REF!</definedName>
    <definedName name="CiTphone" localSheetId="0">#REF!</definedName>
    <definedName name="CiTphone">#REF!</definedName>
    <definedName name="cj" localSheetId="0">#REF!</definedName>
    <definedName name="cj">#REF!</definedName>
    <definedName name="CJmail" localSheetId="0">#REF!</definedName>
    <definedName name="CJmail">#REF!</definedName>
    <definedName name="CJphone" localSheetId="0">#REF!</definedName>
    <definedName name="CJphone">#REF!</definedName>
    <definedName name="CLmail" localSheetId="0">#REF!</definedName>
    <definedName name="CLmail">#REF!</definedName>
    <definedName name="CLphone" localSheetId="0">#REF!</definedName>
    <definedName name="CLphone">#REF!</definedName>
    <definedName name="CrLmail" localSheetId="0">#REF!</definedName>
    <definedName name="CrLmail">#REF!</definedName>
    <definedName name="CrLphone" localSheetId="0">#REF!</definedName>
    <definedName name="CrLphone">#REF!</definedName>
    <definedName name="CrTmail" localSheetId="0">#REF!</definedName>
    <definedName name="CrTmail">#REF!</definedName>
    <definedName name="CrTphone" localSheetId="0">#REF!</definedName>
    <definedName name="CrTphone">#REF!</definedName>
    <definedName name="DGmail" localSheetId="0">#REF!</definedName>
    <definedName name="DGmail">#REF!</definedName>
    <definedName name="DGphone" localSheetId="0">#REF!</definedName>
    <definedName name="DGphone">#REF!</definedName>
    <definedName name="DMmail" localSheetId="0">#REF!</definedName>
    <definedName name="DMmail">#REF!</definedName>
    <definedName name="DMphone" localSheetId="0">#REF!</definedName>
    <definedName name="DMphone">#REF!</definedName>
    <definedName name="DPmail" localSheetId="0">#REF!</definedName>
    <definedName name="DPmail">#REF!</definedName>
    <definedName name="DPphone" localSheetId="0">#REF!</definedName>
    <definedName name="DPphone">#REF!</definedName>
    <definedName name="DQmail" localSheetId="0">#REF!</definedName>
    <definedName name="DQmail">#REF!</definedName>
    <definedName name="DQphone" localSheetId="0">#REF!</definedName>
    <definedName name="DQphone">#REF!</definedName>
    <definedName name="DSmail" localSheetId="0">#REF!</definedName>
    <definedName name="DSmail">#REF!</definedName>
    <definedName name="DSphone" localSheetId="0">#REF!</definedName>
    <definedName name="DSphone">#REF!</definedName>
    <definedName name="ec" localSheetId="0">#REF!</definedName>
    <definedName name="ec">#REF!</definedName>
    <definedName name="FCmail" localSheetId="0">#REF!</definedName>
    <definedName name="FCmail">#REF!</definedName>
    <definedName name="FCphone" localSheetId="0">#REF!</definedName>
    <definedName name="FCphone">#REF!</definedName>
    <definedName name="GaPamail" localSheetId="0">#REF!</definedName>
    <definedName name="GaPamail">#REF!</definedName>
    <definedName name="GaPaphone" localSheetId="0">#REF!</definedName>
    <definedName name="GaPaphone">#REF!</definedName>
    <definedName name="GoSmail" localSheetId="0">#REF!</definedName>
    <definedName name="GoSmail">#REF!</definedName>
    <definedName name="GoSphone" localSheetId="0">#REF!</definedName>
    <definedName name="GoSphone">#REF!</definedName>
    <definedName name="GSmail" localSheetId="0">#REF!</definedName>
    <definedName name="GSmail">#REF!</definedName>
    <definedName name="GSphone" localSheetId="0">#REF!</definedName>
    <definedName name="GSphone">#REF!</definedName>
    <definedName name="GVmail" localSheetId="0">#REF!</definedName>
    <definedName name="GVmail">#REF!</definedName>
    <definedName name="GVphone" localSheetId="0">#REF!</definedName>
    <definedName name="GVphone">#REF!</definedName>
    <definedName name="HTmail" localSheetId="0">#REF!</definedName>
    <definedName name="HTmail">#REF!</definedName>
    <definedName name="HTphone" localSheetId="0">#REF!</definedName>
    <definedName name="HTphone">#REF!</definedName>
    <definedName name="IMmail" localSheetId="0">#REF!</definedName>
    <definedName name="IMmail">#REF!</definedName>
    <definedName name="IMphone" localSheetId="0">#REF!</definedName>
    <definedName name="IMphone">#REF!</definedName>
    <definedName name="in" localSheetId="0">#REF!</definedName>
    <definedName name="in">#REF!</definedName>
    <definedName name="ISmail" localSheetId="0">#REF!</definedName>
    <definedName name="ISmail">#REF!</definedName>
    <definedName name="ISphone" localSheetId="0">#REF!</definedName>
    <definedName name="ISphone">#REF!</definedName>
    <definedName name="JEmail" localSheetId="0">#REF!</definedName>
    <definedName name="JEmail">#REF!</definedName>
    <definedName name="JEphone" localSheetId="0">#REF!</definedName>
    <definedName name="JEphone">#REF!</definedName>
    <definedName name="JLmail" localSheetId="0">#REF!</definedName>
    <definedName name="JLmail">#REF!</definedName>
    <definedName name="JLphone" localSheetId="0">#REF!</definedName>
    <definedName name="JLphone">#REF!</definedName>
    <definedName name="JPmail" localSheetId="0">#REF!</definedName>
    <definedName name="JPmail">#REF!</definedName>
    <definedName name="JPphone" localSheetId="0">#REF!</definedName>
    <definedName name="JPphone">#REF!</definedName>
    <definedName name="JSmail" localSheetId="0">#REF!</definedName>
    <definedName name="JSmail">#REF!</definedName>
    <definedName name="JSphone" localSheetId="0">#REF!</definedName>
    <definedName name="JSphone">#REF!</definedName>
    <definedName name="JVmail" localSheetId="0">#REF!</definedName>
    <definedName name="JVmail">#REF!</definedName>
    <definedName name="JVphone" localSheetId="0">#REF!</definedName>
    <definedName name="JVphone">#REF!</definedName>
    <definedName name="KDmail" localSheetId="0">#REF!</definedName>
    <definedName name="KDmail">#REF!</definedName>
    <definedName name="KDphone" localSheetId="0">#REF!</definedName>
    <definedName name="KDphone">#REF!</definedName>
    <definedName name="LMmail" localSheetId="0">#REF!</definedName>
    <definedName name="LMmail">#REF!</definedName>
    <definedName name="LMphone" localSheetId="0">#REF!</definedName>
    <definedName name="LMphone">#REF!</definedName>
    <definedName name="ln" localSheetId="0">#REF!</definedName>
    <definedName name="ln">#REF!</definedName>
    <definedName name="LNmail" localSheetId="0">#REF!</definedName>
    <definedName name="LNmail">#REF!</definedName>
    <definedName name="LNphone" localSheetId="0">#REF!</definedName>
    <definedName name="LNphone">#REF!</definedName>
    <definedName name="LSmail" localSheetId="0">#REF!</definedName>
    <definedName name="LSmail">#REF!</definedName>
    <definedName name="LSphone" localSheetId="0">#REF!</definedName>
    <definedName name="LSphone">#REF!</definedName>
    <definedName name="MaPmail" localSheetId="0">#REF!</definedName>
    <definedName name="MaPmail">#REF!</definedName>
    <definedName name="MaPphone" localSheetId="0">#REF!</definedName>
    <definedName name="MaPphone">#REF!</definedName>
    <definedName name="MaTrmail" localSheetId="0">#REF!</definedName>
    <definedName name="MaTrmail">#REF!</definedName>
    <definedName name="MaTrphone" localSheetId="0">#REF!</definedName>
    <definedName name="MaTrphone">#REF!</definedName>
    <definedName name="MBmail" localSheetId="0">#REF!</definedName>
    <definedName name="MBmail">#REF!</definedName>
    <definedName name="MBphone" localSheetId="0">#REF!</definedName>
    <definedName name="MBphone">#REF!</definedName>
    <definedName name="MDmail" localSheetId="0">#REF!</definedName>
    <definedName name="MDmail">#REF!</definedName>
    <definedName name="MDphone" localSheetId="0">#REF!</definedName>
    <definedName name="MDphone">#REF!</definedName>
    <definedName name="MEmail" localSheetId="0">#REF!</definedName>
    <definedName name="MEmail">#REF!</definedName>
    <definedName name="MEphone" localSheetId="0">#REF!</definedName>
    <definedName name="MEphone">#REF!</definedName>
    <definedName name="MiDmail" localSheetId="0">#REF!</definedName>
    <definedName name="MiDmail">#REF!</definedName>
    <definedName name="MiDphone" localSheetId="0">#REF!</definedName>
    <definedName name="MiDphone">#REF!</definedName>
    <definedName name="MKmail" localSheetId="0">#REF!</definedName>
    <definedName name="MKmail">#REF!</definedName>
    <definedName name="MKphone" localSheetId="0">#REF!</definedName>
    <definedName name="MKphone">#REF!</definedName>
    <definedName name="MLmail" localSheetId="0">#REF!</definedName>
    <definedName name="MLmail">#REF!</definedName>
    <definedName name="MLphone" localSheetId="0">#REF!</definedName>
    <definedName name="MLphone">#REF!</definedName>
    <definedName name="MoVlemail" localSheetId="0">#REF!</definedName>
    <definedName name="MoVlemail">#REF!</definedName>
    <definedName name="MoVlmail" localSheetId="0">#REF!</definedName>
    <definedName name="MoVlmail">#REF!</definedName>
    <definedName name="MoVlphone" localSheetId="0">#REF!</definedName>
    <definedName name="MoVlphone">#REF!</definedName>
    <definedName name="MPmail" localSheetId="0">#REF!</definedName>
    <definedName name="MPmail">#REF!</definedName>
    <definedName name="MPphone" localSheetId="0">#REF!</definedName>
    <definedName name="MPphone">#REF!</definedName>
    <definedName name="MRmail" localSheetId="0">#REF!</definedName>
    <definedName name="MRmail">#REF!</definedName>
    <definedName name="MRphone" localSheetId="0">#REF!</definedName>
    <definedName name="MRphone">#REF!</definedName>
    <definedName name="MSmail" localSheetId="0">#REF!</definedName>
    <definedName name="MSmail">#REF!</definedName>
    <definedName name="MSphone" localSheetId="0">#REF!</definedName>
    <definedName name="MSphone">#REF!</definedName>
    <definedName name="MVmail" localSheetId="0">#REF!</definedName>
    <definedName name="MVmail">#REF!</definedName>
    <definedName name="MVphone" localSheetId="0">#REF!</definedName>
    <definedName name="MVphone">#REF!</definedName>
    <definedName name="NAmail" localSheetId="0">#REF!</definedName>
    <definedName name="NAmail">#REF!</definedName>
    <definedName name="NAphone" localSheetId="0">#REF!</definedName>
    <definedName name="NAphone">#REF!</definedName>
    <definedName name="NCmail" localSheetId="0">#REF!</definedName>
    <definedName name="NCmail">#REF!</definedName>
    <definedName name="NCphone" localSheetId="0">#REF!</definedName>
    <definedName name="NCphone">#REF!</definedName>
    <definedName name="NGmail" localSheetId="0">#REF!</definedName>
    <definedName name="NGmail">#REF!</definedName>
    <definedName name="NGphone" localSheetId="0">#REF!</definedName>
    <definedName name="NGphone">#REF!</definedName>
    <definedName name="nj" localSheetId="0">#REF!</definedName>
    <definedName name="nj">#REF!</definedName>
    <definedName name="NNmail" localSheetId="0">#REF!</definedName>
    <definedName name="NNmail">#REF!</definedName>
    <definedName name="NNphone" localSheetId="0">#REF!</definedName>
    <definedName name="NNphone">#REF!</definedName>
    <definedName name="NSmail" localSheetId="0">#REF!</definedName>
    <definedName name="NSmail">#REF!</definedName>
    <definedName name="NSphone" localSheetId="0">#REF!</definedName>
    <definedName name="NSphone">#REF!</definedName>
    <definedName name="ny" localSheetId="0">#REF!</definedName>
    <definedName name="ny">#REF!</definedName>
    <definedName name="PBmail" localSheetId="0">#REF!</definedName>
    <definedName name="PBmail">#REF!</definedName>
    <definedName name="PBphone" localSheetId="0">#REF!</definedName>
    <definedName name="PBphone">#REF!</definedName>
    <definedName name="PCmail" localSheetId="0">#REF!</definedName>
    <definedName name="PCmail">#REF!</definedName>
    <definedName name="PCphone" localSheetId="0">#REF!</definedName>
    <definedName name="PCphone">#REF!</definedName>
    <definedName name="PDmail" localSheetId="0">#REF!</definedName>
    <definedName name="PDmail">#REF!</definedName>
    <definedName name="PDphone" localSheetId="0">#REF!</definedName>
    <definedName name="PDphone">#REF!</definedName>
    <definedName name="PPmail" localSheetId="0">#REF!</definedName>
    <definedName name="PPmail">#REF!</definedName>
    <definedName name="PPphone" localSheetId="0">#REF!</definedName>
    <definedName name="PPphone">#REF!</definedName>
    <definedName name="_xlnm.Print_Area" localSheetId="3">'Defect Metrics 1'!$A:$P</definedName>
    <definedName name="_xlnm.Print_Area" localSheetId="4">'Defect Metrics 2'!$A:$Q</definedName>
    <definedName name="_xlnm.Print_Area" localSheetId="2">'Execution Metrics'!$A:$Q</definedName>
    <definedName name="_xlnm.Print_Area" localSheetId="5">'Test Suite'!$A:$R</definedName>
    <definedName name="_xlnm.Print_Titles" localSheetId="5">'Test Suite'!$1:$2</definedName>
    <definedName name="qt" localSheetId="0">#REF!</definedName>
    <definedName name="qt">#REF!</definedName>
    <definedName name="RALamail" localSheetId="0">#REF!</definedName>
    <definedName name="RALamail">#REF!</definedName>
    <definedName name="RALaphone" localSheetId="0">#REF!</definedName>
    <definedName name="RALaphone">#REF!</definedName>
    <definedName name="RAmail" localSheetId="0">#REF!</definedName>
    <definedName name="RAmail">#REF!</definedName>
    <definedName name="RAphone" localSheetId="0">#REF!</definedName>
    <definedName name="RAphone">#REF!</definedName>
    <definedName name="RGmail" localSheetId="0">#REF!</definedName>
    <definedName name="RGmail">#REF!</definedName>
    <definedName name="RGphone" localSheetId="0">#REF!</definedName>
    <definedName name="RGphone">#REF!</definedName>
    <definedName name="RPmail" localSheetId="0">#REF!</definedName>
    <definedName name="RPmail">#REF!</definedName>
    <definedName name="RPphone" localSheetId="0">#REF!</definedName>
    <definedName name="RPphone">#REF!</definedName>
    <definedName name="RRmail" localSheetId="0">#REF!</definedName>
    <definedName name="RRmail">#REF!</definedName>
    <definedName name="RRphone" localSheetId="0">#REF!</definedName>
    <definedName name="RRphone">#REF!</definedName>
    <definedName name="RTmail" localSheetId="0">#REF!</definedName>
    <definedName name="RTmail">#REF!</definedName>
    <definedName name="RTphone" localSheetId="0">#REF!</definedName>
    <definedName name="RTphone">#REF!</definedName>
    <definedName name="RVmail" localSheetId="0">#REF!</definedName>
    <definedName name="RVmail">#REF!</definedName>
    <definedName name="RVphone" localSheetId="0">#REF!</definedName>
    <definedName name="RVphone">#REF!</definedName>
    <definedName name="ShSrmail" localSheetId="0">#REF!</definedName>
    <definedName name="ShSrmail">#REF!</definedName>
    <definedName name="ShSrphone" localSheetId="0">#REF!</definedName>
    <definedName name="ShSrphone">#REF!</definedName>
    <definedName name="SiVlmail" localSheetId="0">#REF!</definedName>
    <definedName name="SiVlmail">#REF!</definedName>
    <definedName name="SiVlphone" localSheetId="0">#REF!</definedName>
    <definedName name="SiVlphone">#REF!</definedName>
    <definedName name="SLmail" localSheetId="0">#REF!</definedName>
    <definedName name="SLmail">#REF!</definedName>
    <definedName name="SLPhone" localSheetId="0">#REF!</definedName>
    <definedName name="SLPhone">#REF!</definedName>
    <definedName name="SMmail" localSheetId="0">#REF!</definedName>
    <definedName name="SMmail">#REF!</definedName>
    <definedName name="SMphone" localSheetId="0">#REF!</definedName>
    <definedName name="SMphone">#REF!</definedName>
    <definedName name="TuLumail" localSheetId="0">#REF!</definedName>
    <definedName name="TuLumail">#REF!</definedName>
    <definedName name="TuLuphone" localSheetId="0">#REF!</definedName>
    <definedName name="TuLuphone">#REF!</definedName>
    <definedName name="TVmail" localSheetId="0">#REF!</definedName>
    <definedName name="TVmail">#REF!</definedName>
    <definedName name="TVphone" localSheetId="0">#REF!</definedName>
    <definedName name="TVphone">#REF!</definedName>
    <definedName name="VDmail" localSheetId="0">#REF!</definedName>
    <definedName name="VDmail">#REF!</definedName>
    <definedName name="VDphone" localSheetId="0">#REF!</definedName>
    <definedName name="VDphone">#REF!</definedName>
    <definedName name="VGamail" localSheetId="0">#REF!</definedName>
    <definedName name="VGamail">#REF!</definedName>
    <definedName name="VGaphone" localSheetId="0">#REF!</definedName>
    <definedName name="VGaphone">#REF!</definedName>
    <definedName name="VGmail" localSheetId="0">#REF!</definedName>
    <definedName name="VGmail">#REF!</definedName>
    <definedName name="VGphone" localSheetId="0">#REF!</definedName>
    <definedName name="VGphone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" i="101" l="1"/>
  <c r="F4" i="101"/>
  <c r="F5" i="101"/>
  <c r="F6" i="101"/>
  <c r="F7" i="101"/>
  <c r="F8" i="101"/>
  <c r="F9" i="101"/>
  <c r="F10" i="101"/>
  <c r="F11" i="101"/>
  <c r="F12" i="101"/>
  <c r="F13" i="101"/>
  <c r="F14" i="101"/>
  <c r="F15" i="101"/>
  <c r="F16" i="101"/>
  <c r="F17" i="101"/>
  <c r="F18" i="101"/>
  <c r="F19" i="101"/>
  <c r="F20" i="101"/>
  <c r="F21" i="101"/>
  <c r="F22" i="101"/>
  <c r="F23" i="101"/>
  <c r="F24" i="101"/>
  <c r="F25" i="101"/>
  <c r="F26" i="101"/>
  <c r="F27" i="101"/>
  <c r="F28" i="101"/>
  <c r="F29" i="101"/>
  <c r="F30" i="101"/>
  <c r="F31" i="101"/>
  <c r="F32" i="101"/>
  <c r="F33" i="101"/>
  <c r="F34" i="101"/>
  <c r="F35" i="101"/>
  <c r="F36" i="101"/>
  <c r="F37" i="101"/>
  <c r="F38" i="101"/>
  <c r="F39" i="101"/>
  <c r="F40" i="101"/>
  <c r="F41" i="101"/>
  <c r="F42" i="101"/>
  <c r="F43" i="101"/>
  <c r="F44" i="101"/>
  <c r="F45" i="101"/>
  <c r="F46" i="101"/>
  <c r="F47" i="101"/>
  <c r="F48" i="101"/>
  <c r="F49" i="101"/>
  <c r="F50" i="101"/>
  <c r="F51" i="101"/>
  <c r="F52" i="101"/>
  <c r="F53" i="101"/>
  <c r="F54" i="101"/>
  <c r="F55" i="101"/>
  <c r="F56" i="101"/>
  <c r="F57" i="101"/>
  <c r="F58" i="101"/>
  <c r="F59" i="101"/>
  <c r="F60" i="101"/>
  <c r="F61" i="101"/>
  <c r="F62" i="101"/>
  <c r="F63" i="101"/>
  <c r="F64" i="101"/>
  <c r="F65" i="101"/>
  <c r="F66" i="101"/>
  <c r="F67" i="101"/>
  <c r="F68" i="101"/>
  <c r="F69" i="101"/>
  <c r="F70" i="101"/>
  <c r="F71" i="101"/>
  <c r="F72" i="101"/>
  <c r="F73" i="101"/>
  <c r="F74" i="101"/>
  <c r="F75" i="101"/>
  <c r="F76" i="101"/>
  <c r="F77" i="101"/>
  <c r="F78" i="101"/>
  <c r="F79" i="101"/>
  <c r="F80" i="101"/>
  <c r="F81" i="101"/>
  <c r="F82" i="101"/>
  <c r="F83" i="101"/>
  <c r="F84" i="101"/>
  <c r="F85" i="101"/>
  <c r="F86" i="101"/>
  <c r="F87" i="101"/>
  <c r="F88" i="101"/>
  <c r="F89" i="101"/>
  <c r="F90" i="101"/>
  <c r="F91" i="101"/>
  <c r="F92" i="101"/>
  <c r="F93" i="101"/>
  <c r="F94" i="101"/>
  <c r="F95" i="101"/>
  <c r="F96" i="101"/>
  <c r="F97" i="101"/>
  <c r="F98" i="101"/>
  <c r="F99" i="101"/>
  <c r="F100" i="101"/>
  <c r="F101" i="101"/>
  <c r="F102" i="101"/>
  <c r="F103" i="101"/>
  <c r="F104" i="101"/>
  <c r="F105" i="101"/>
  <c r="F106" i="101"/>
  <c r="F107" i="101"/>
  <c r="F108" i="101"/>
  <c r="F109" i="101"/>
  <c r="F110" i="101"/>
  <c r="F111" i="101"/>
  <c r="F112" i="101"/>
  <c r="F113" i="101"/>
  <c r="F114" i="101"/>
  <c r="F115" i="101"/>
  <c r="F116" i="101"/>
  <c r="F117" i="101"/>
  <c r="F118" i="101"/>
  <c r="F119" i="101"/>
  <c r="F120" i="101"/>
  <c r="F121" i="101"/>
  <c r="F122" i="101"/>
  <c r="F2" i="101"/>
  <c r="E3" i="101"/>
  <c r="E4" i="101"/>
  <c r="E5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2" i="101"/>
  <c r="D19" i="101"/>
  <c r="D20" i="101"/>
  <c r="D21" i="101"/>
  <c r="D22" i="101"/>
  <c r="D23" i="101"/>
  <c r="D24" i="101"/>
  <c r="D25" i="101"/>
  <c r="D26" i="101"/>
  <c r="D27" i="101"/>
  <c r="D28" i="101"/>
  <c r="D29" i="101"/>
  <c r="D30" i="101"/>
  <c r="D31" i="101"/>
  <c r="D32" i="101"/>
  <c r="D33" i="101"/>
  <c r="D34" i="101"/>
  <c r="D35" i="101"/>
  <c r="D36" i="101"/>
  <c r="D37" i="101"/>
  <c r="D38" i="101"/>
  <c r="D39" i="101"/>
  <c r="D40" i="101"/>
  <c r="D41" i="101"/>
  <c r="D42" i="101"/>
  <c r="D43" i="101"/>
  <c r="D44" i="101"/>
  <c r="D45" i="101"/>
  <c r="D46" i="101"/>
  <c r="D47" i="101"/>
  <c r="D48" i="101"/>
  <c r="D49" i="101"/>
  <c r="D50" i="101"/>
  <c r="D51" i="101"/>
  <c r="D52" i="101"/>
  <c r="D53" i="101"/>
  <c r="D54" i="101"/>
  <c r="D55" i="101"/>
  <c r="D56" i="101"/>
  <c r="D57" i="101"/>
  <c r="D58" i="101"/>
  <c r="D59" i="101"/>
  <c r="D60" i="101"/>
  <c r="D61" i="101"/>
  <c r="D62" i="101"/>
  <c r="D63" i="101"/>
  <c r="D64" i="101"/>
  <c r="D65" i="101"/>
  <c r="D66" i="101"/>
  <c r="D67" i="101"/>
  <c r="D68" i="101"/>
  <c r="D69" i="101"/>
  <c r="D70" i="101"/>
  <c r="D71" i="101"/>
  <c r="D72" i="101"/>
  <c r="D73" i="101"/>
  <c r="D74" i="101"/>
  <c r="D75" i="101"/>
  <c r="D76" i="101"/>
  <c r="D77" i="101"/>
  <c r="D78" i="101"/>
  <c r="D79" i="101"/>
  <c r="D80" i="101"/>
  <c r="D81" i="101"/>
  <c r="D82" i="101"/>
  <c r="D83" i="101"/>
  <c r="D84" i="101"/>
  <c r="D85" i="101"/>
  <c r="D86" i="101"/>
  <c r="D87" i="101"/>
  <c r="D88" i="101"/>
  <c r="D89" i="101"/>
  <c r="D90" i="101"/>
  <c r="D91" i="101"/>
  <c r="D92" i="101"/>
  <c r="D93" i="101"/>
  <c r="D94" i="101"/>
  <c r="D95" i="101"/>
  <c r="D96" i="101"/>
  <c r="D97" i="101"/>
  <c r="D98" i="101"/>
  <c r="D99" i="101"/>
  <c r="D100" i="101"/>
  <c r="D101" i="101"/>
  <c r="D102" i="101"/>
  <c r="D103" i="101"/>
  <c r="D104" i="101"/>
  <c r="D105" i="101"/>
  <c r="D106" i="101"/>
  <c r="D107" i="101"/>
  <c r="D108" i="101"/>
  <c r="D109" i="101"/>
  <c r="D110" i="101"/>
  <c r="D111" i="101"/>
  <c r="D112" i="101"/>
  <c r="D113" i="101"/>
  <c r="D114" i="101"/>
  <c r="D115" i="101"/>
  <c r="D116" i="101"/>
  <c r="D117" i="101"/>
  <c r="D118" i="101"/>
  <c r="D119" i="101"/>
  <c r="D120" i="101"/>
  <c r="D121" i="101"/>
  <c r="D122" i="101"/>
  <c r="D3" i="101"/>
  <c r="D4" i="101"/>
  <c r="D5" i="101"/>
  <c r="D6" i="101"/>
  <c r="D7" i="101"/>
  <c r="D8" i="101"/>
  <c r="D9" i="101"/>
  <c r="D10" i="101"/>
  <c r="D11" i="101"/>
  <c r="D12" i="101"/>
  <c r="D13" i="101"/>
  <c r="D14" i="101"/>
  <c r="D15" i="101"/>
  <c r="D16" i="101"/>
  <c r="D17" i="101"/>
  <c r="D18" i="101"/>
  <c r="D2" i="101"/>
  <c r="B122" i="101"/>
  <c r="B120" i="101"/>
  <c r="B121" i="101"/>
  <c r="B119" i="101"/>
  <c r="B117" i="101"/>
  <c r="B118" i="101"/>
  <c r="B116" i="101"/>
  <c r="B112" i="101"/>
  <c r="B113" i="101"/>
  <c r="B114" i="101"/>
  <c r="B115" i="101"/>
  <c r="B102" i="101"/>
  <c r="B103" i="101"/>
  <c r="B104" i="101"/>
  <c r="B105" i="101"/>
  <c r="B106" i="101"/>
  <c r="B107" i="101"/>
  <c r="B108" i="101"/>
  <c r="B109" i="101"/>
  <c r="B110" i="101"/>
  <c r="B111" i="101"/>
  <c r="B89" i="101"/>
  <c r="B90" i="101"/>
  <c r="B91" i="101"/>
  <c r="B92" i="101"/>
  <c r="B93" i="101"/>
  <c r="B94" i="101"/>
  <c r="B95" i="101"/>
  <c r="B96" i="101"/>
  <c r="B97" i="101"/>
  <c r="B98" i="101"/>
  <c r="B99" i="101"/>
  <c r="B100" i="101"/>
  <c r="B101" i="101"/>
  <c r="B76" i="101"/>
  <c r="B77" i="101"/>
  <c r="B78" i="101"/>
  <c r="B79" i="101"/>
  <c r="B80" i="101"/>
  <c r="B81" i="101"/>
  <c r="B82" i="101"/>
  <c r="B83" i="101"/>
  <c r="B84" i="101"/>
  <c r="B85" i="101"/>
  <c r="B86" i="101"/>
  <c r="B87" i="101"/>
  <c r="B88" i="101"/>
  <c r="B55" i="101"/>
  <c r="B56" i="101"/>
  <c r="B57" i="101"/>
  <c r="B58" i="101"/>
  <c r="B59" i="101"/>
  <c r="B60" i="101"/>
  <c r="B61" i="101"/>
  <c r="B62" i="101"/>
  <c r="B63" i="101"/>
  <c r="B64" i="101"/>
  <c r="B65" i="101"/>
  <c r="B66" i="101"/>
  <c r="B67" i="101"/>
  <c r="B68" i="101"/>
  <c r="B69" i="101"/>
  <c r="B70" i="101"/>
  <c r="B71" i="101"/>
  <c r="B72" i="101"/>
  <c r="B73" i="101"/>
  <c r="B74" i="101"/>
  <c r="B75" i="101"/>
  <c r="B43" i="101"/>
  <c r="B44" i="101"/>
  <c r="B45" i="101"/>
  <c r="B46" i="101"/>
  <c r="B47" i="101"/>
  <c r="B48" i="101"/>
  <c r="B49" i="101"/>
  <c r="B50" i="101"/>
  <c r="B51" i="101"/>
  <c r="B52" i="101"/>
  <c r="B53" i="101"/>
  <c r="B54" i="101"/>
  <c r="B3" i="101"/>
  <c r="B4" i="101"/>
  <c r="B5" i="101"/>
  <c r="B6" i="101"/>
  <c r="B7" i="101"/>
  <c r="B8" i="101"/>
  <c r="B9" i="101"/>
  <c r="B10" i="101"/>
  <c r="B11" i="101"/>
  <c r="B12" i="101"/>
  <c r="B13" i="101"/>
  <c r="B14" i="101"/>
  <c r="B15" i="101"/>
  <c r="B16" i="101"/>
  <c r="B17" i="101"/>
  <c r="B18" i="101"/>
  <c r="B19" i="101"/>
  <c r="B20" i="101"/>
  <c r="B21" i="101"/>
  <c r="B22" i="101"/>
  <c r="B23" i="101"/>
  <c r="B24" i="101"/>
  <c r="B25" i="101"/>
  <c r="B26" i="101"/>
  <c r="B27" i="101"/>
  <c r="B28" i="101"/>
  <c r="B29" i="101"/>
  <c r="B30" i="101"/>
  <c r="B31" i="101"/>
  <c r="B32" i="101"/>
  <c r="B33" i="101"/>
  <c r="B34" i="101"/>
  <c r="B35" i="101"/>
  <c r="B36" i="101"/>
  <c r="B37" i="101"/>
  <c r="B38" i="101"/>
  <c r="B39" i="101"/>
  <c r="B40" i="101"/>
  <c r="B41" i="101"/>
  <c r="B42" i="101"/>
  <c r="B2" i="101"/>
  <c r="N39" i="30"/>
  <c r="A35" i="30" l="1"/>
  <c r="B35" i="30"/>
  <c r="A31" i="30"/>
  <c r="B31" i="30"/>
  <c r="A27" i="30"/>
  <c r="B27" i="30"/>
  <c r="A23" i="30"/>
  <c r="B23" i="30"/>
  <c r="A19" i="30" l="1"/>
  <c r="B19" i="30"/>
  <c r="A15" i="30"/>
  <c r="B15" i="30"/>
  <c r="A11" i="30"/>
  <c r="B11" i="30"/>
  <c r="A7" i="30"/>
  <c r="B7" i="30"/>
  <c r="B24" i="33" l="1"/>
  <c r="C24" i="33"/>
  <c r="D24" i="33"/>
  <c r="E24" i="33"/>
  <c r="B25" i="33"/>
  <c r="C25" i="33"/>
  <c r="D25" i="33"/>
  <c r="E25" i="33"/>
  <c r="B23" i="33"/>
  <c r="C23" i="33"/>
  <c r="D23" i="33"/>
  <c r="E23" i="33"/>
  <c r="B21" i="33"/>
  <c r="C21" i="33"/>
  <c r="D21" i="33"/>
  <c r="E21" i="33"/>
  <c r="B22" i="33"/>
  <c r="C22" i="33"/>
  <c r="D22" i="33"/>
  <c r="E22" i="33"/>
  <c r="B19" i="33" l="1"/>
  <c r="C19" i="33"/>
  <c r="D19" i="33"/>
  <c r="E19" i="33"/>
  <c r="B20" i="33"/>
  <c r="C20" i="33"/>
  <c r="D20" i="33"/>
  <c r="E20" i="33"/>
  <c r="B18" i="33"/>
  <c r="C18" i="33"/>
  <c r="D18" i="33"/>
  <c r="E18" i="33"/>
  <c r="A39" i="30" l="1"/>
  <c r="B39" i="30"/>
  <c r="D2" i="34" l="1"/>
  <c r="C2" i="34"/>
  <c r="B2" i="34"/>
  <c r="D6" i="33" l="1"/>
  <c r="D7" i="33"/>
  <c r="D8" i="33"/>
  <c r="D9" i="33"/>
  <c r="D10" i="33"/>
  <c r="D11" i="33"/>
  <c r="D12" i="33"/>
  <c r="D13" i="33"/>
  <c r="D14" i="33"/>
  <c r="D15" i="33"/>
  <c r="D16" i="33"/>
  <c r="D17" i="33"/>
  <c r="D5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A3" i="30"/>
  <c r="E2" i="35" l="1"/>
  <c r="D2" i="35"/>
  <c r="C2" i="35"/>
  <c r="B2" i="35"/>
  <c r="E17" i="33" l="1"/>
  <c r="E16" i="33"/>
  <c r="E15" i="33"/>
  <c r="E14" i="33"/>
  <c r="E13" i="33"/>
  <c r="E12" i="33"/>
  <c r="E11" i="33"/>
  <c r="E10" i="33"/>
  <c r="E9" i="33"/>
  <c r="E8" i="33"/>
  <c r="E7" i="33"/>
  <c r="E6" i="33"/>
  <c r="E5" i="33"/>
  <c r="B6" i="33"/>
  <c r="B7" i="33"/>
  <c r="B8" i="33"/>
  <c r="B9" i="33"/>
  <c r="B10" i="33"/>
  <c r="B11" i="33"/>
  <c r="B12" i="33"/>
  <c r="B13" i="33"/>
  <c r="B14" i="33"/>
  <c r="B15" i="33"/>
  <c r="B16" i="33"/>
  <c r="B17" i="33"/>
  <c r="B5" i="33"/>
  <c r="B2" i="33" l="1"/>
  <c r="D2" i="33"/>
  <c r="C2" i="33"/>
  <c r="E2" i="33"/>
  <c r="C3" i="30" l="1"/>
  <c r="C4" i="30" s="1"/>
  <c r="C5" i="30" s="1"/>
  <c r="C6" i="30" s="1"/>
  <c r="C7" i="30" s="1"/>
  <c r="C8" i="30" s="1"/>
  <c r="C9" i="30" s="1"/>
  <c r="C10" i="30" s="1"/>
  <c r="C11" i="30" s="1"/>
  <c r="C12" i="30" s="1"/>
  <c r="C13" i="30" s="1"/>
  <c r="C14" i="30" s="1"/>
  <c r="C15" i="30" s="1"/>
  <c r="C16" i="30" s="1"/>
  <c r="C17" i="30" s="1"/>
  <c r="C18" i="30" s="1"/>
  <c r="C19" i="30" s="1"/>
  <c r="C20" i="30" s="1"/>
  <c r="C21" i="30" s="1"/>
  <c r="C22" i="30" s="1"/>
  <c r="C23" i="30" s="1"/>
  <c r="C24" i="30" s="1"/>
  <c r="C25" i="30" s="1"/>
  <c r="C26" i="30" s="1"/>
  <c r="C27" i="30" s="1"/>
  <c r="C28" i="30" s="1"/>
  <c r="C29" i="30" s="1"/>
  <c r="C30" i="30" s="1"/>
  <c r="C31" i="30" s="1"/>
  <c r="C32" i="30" s="1"/>
  <c r="C33" i="30" s="1"/>
  <c r="C34" i="30" s="1"/>
  <c r="C35" i="30" s="1"/>
  <c r="C36" i="30" s="1"/>
  <c r="C37" i="30" s="1"/>
  <c r="C38" i="30" s="1"/>
  <c r="C39" i="30" s="1"/>
  <c r="C40" i="30" s="1"/>
  <c r="C41" i="30" s="1"/>
  <c r="C42" i="30" s="1"/>
  <c r="C43" i="30" s="1"/>
  <c r="C44" i="30" s="1"/>
  <c r="C45" i="30" s="1"/>
  <c r="B3" i="30" l="1"/>
  <c r="K1" i="30"/>
  <c r="G1" i="30" l="1" a="1"/>
  <c r="G1" i="30" s="1"/>
  <c r="N42" i="30" l="1"/>
  <c r="N44" i="30"/>
  <c r="N40" i="30"/>
  <c r="N45" i="30"/>
  <c r="N43" i="30"/>
  <c r="N41" i="3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<sst xmlns="http://schemas.openxmlformats.org/spreadsheetml/2006/main" count="1157" uniqueCount="228">
  <si>
    <t>Document Control</t>
  </si>
  <si>
    <t>Title:</t>
  </si>
  <si>
    <t>QA UAT Scripts per Functionality</t>
  </si>
  <si>
    <t>Code:</t>
  </si>
  <si>
    <t>QUA_TPL_QA_UAT_Scripts_per_Functionality</t>
  </si>
  <si>
    <t>Project:</t>
  </si>
  <si>
    <t>Confidentiality:</t>
  </si>
  <si>
    <t>INTERNAL USE ONLY</t>
  </si>
  <si>
    <t>Integrity:</t>
  </si>
  <si>
    <t>HIGH</t>
  </si>
  <si>
    <t>Availability:</t>
  </si>
  <si>
    <t>MEDIUM</t>
  </si>
  <si>
    <t>Deliverable:</t>
  </si>
  <si>
    <t>NO</t>
  </si>
  <si>
    <t>Version:</t>
  </si>
  <si>
    <t>Document Ownership</t>
  </si>
  <si>
    <t>Nature of involvement</t>
  </si>
  <si>
    <t>Name</t>
  </si>
  <si>
    <t>Institution</t>
  </si>
  <si>
    <t>Role</t>
  </si>
  <si>
    <t>Owned by:</t>
  </si>
  <si>
    <t>Ciprian Tesa</t>
  </si>
  <si>
    <t>Montran</t>
  </si>
  <si>
    <t>Engineering Manager</t>
  </si>
  <si>
    <t>First Draft by:</t>
  </si>
  <si>
    <t>QA Team</t>
  </si>
  <si>
    <t>QA</t>
  </si>
  <si>
    <t>Last Verified by:</t>
  </si>
  <si>
    <t xml:space="preserve">Reviewed/QA  by: </t>
  </si>
  <si>
    <t>Approved by:</t>
  </si>
  <si>
    <t>Distributed to:</t>
  </si>
  <si>
    <t>All Emplyees</t>
  </si>
  <si>
    <t>Document History</t>
  </si>
  <si>
    <t>Date</t>
  </si>
  <si>
    <t>Version &amp; Status</t>
  </si>
  <si>
    <t>Changes</t>
  </si>
  <si>
    <t>0.01 DRAFT</t>
  </si>
  <si>
    <t>initial draft</t>
  </si>
  <si>
    <t>0.02 DRAFT</t>
  </si>
  <si>
    <t>formatted, changed names of columns, added execution metrics.</t>
  </si>
  <si>
    <t>0.03 DRAFT</t>
  </si>
  <si>
    <t>added defect metrics</t>
  </si>
  <si>
    <t>0.04 DRAFT</t>
  </si>
  <si>
    <t>template splitting per module/ per functionality, modified QA accepted steps to step status - Passed (P), Failed (F), Blocked (B), added blocked to metrics, added description sheet</t>
  </si>
  <si>
    <t>0.05 DRAFT</t>
  </si>
  <si>
    <t>adjusted Conditional Formatting</t>
  </si>
  <si>
    <t>1 APPROVED</t>
  </si>
  <si>
    <t>Approved Version</t>
  </si>
  <si>
    <t>2 APPROVED</t>
  </si>
  <si>
    <t>metrics charts and date formatting</t>
  </si>
  <si>
    <t>review, no update</t>
  </si>
  <si>
    <t>3.00 APPROVED</t>
  </si>
  <si>
    <t>Periodic review, approved.</t>
  </si>
  <si>
    <t>Periodic review, no changes, approved.</t>
  </si>
  <si>
    <t>Test Suite Details</t>
  </si>
  <si>
    <t>Description</t>
  </si>
  <si>
    <t>Test Suite Name:</t>
  </si>
  <si>
    <t>Test Suite Type:</t>
  </si>
  <si>
    <t>[choose one: Abstract/ Executable]</t>
  </si>
  <si>
    <t>Other relevant details:</t>
  </si>
  <si>
    <t>TC Execution</t>
  </si>
  <si>
    <t>Total</t>
  </si>
  <si>
    <t>Passed</t>
  </si>
  <si>
    <t>Failed/ Blocked</t>
  </si>
  <si>
    <t>Not Run</t>
  </si>
  <si>
    <t>TC Execution per Functionality</t>
  </si>
  <si>
    <t>01. Instalación</t>
  </si>
  <si>
    <t>02. Configuración del Sistema</t>
  </si>
  <si>
    <t>03. Autenticación de Usuario y Control de Acceso</t>
  </si>
  <si>
    <t>04. Actores</t>
  </si>
  <si>
    <t>05. Instrumentos Financieros</t>
  </si>
  <si>
    <t>06. Cuentas</t>
  </si>
  <si>
    <t>07. Subasta</t>
  </si>
  <si>
    <t>08. Acciones Corporativas</t>
  </si>
  <si>
    <t>09. Liquidación</t>
  </si>
  <si>
    <t>10. Parametrización del sistema</t>
  </si>
  <si>
    <t>11. Operaciones y Transacciones de Valores</t>
  </si>
  <si>
    <t>12. Elegibilidad de Colaterales</t>
  </si>
  <si>
    <t>13. Impuestos</t>
  </si>
  <si>
    <t>14. Mantenimiento</t>
  </si>
  <si>
    <t>15. Alertas del Sistema</t>
  </si>
  <si>
    <t>16. Monitoreo</t>
  </si>
  <si>
    <t>17. Facturación</t>
  </si>
  <si>
    <t>18. Enrutamiento</t>
  </si>
  <si>
    <t>19. Interfaces</t>
  </si>
  <si>
    <t>20. Reportes</t>
  </si>
  <si>
    <t>21. Migración</t>
  </si>
  <si>
    <t>Defect distribution by status</t>
  </si>
  <si>
    <t>Open</t>
  </si>
  <si>
    <t>Closed</t>
  </si>
  <si>
    <t>Defect distribution per Functionality 
by status</t>
  </si>
  <si>
    <t>01. First functionality</t>
  </si>
  <si>
    <t>02. Second functionality</t>
  </si>
  <si>
    <t>03. ---</t>
  </si>
  <si>
    <t>04. ---</t>
  </si>
  <si>
    <t>05. ---</t>
  </si>
  <si>
    <t>06. ---</t>
  </si>
  <si>
    <t>07. ---</t>
  </si>
  <si>
    <t>08. ---</t>
  </si>
  <si>
    <t>09. ---</t>
  </si>
  <si>
    <t>10. ---</t>
  </si>
  <si>
    <t>11. ---</t>
  </si>
  <si>
    <t>12. ---</t>
  </si>
  <si>
    <t>13. ---</t>
  </si>
  <si>
    <t>14. ---</t>
  </si>
  <si>
    <t>Defect distribution by severity</t>
  </si>
  <si>
    <t>High/ Blocking</t>
  </si>
  <si>
    <t>Medium</t>
  </si>
  <si>
    <t>Low</t>
  </si>
  <si>
    <t>Defect distribution per Functionality by severity</t>
  </si>
  <si>
    <t>TEST CASES:</t>
  </si>
  <si>
    <t>UAT</t>
  </si>
  <si>
    <t xml:space="preserve"> QA</t>
  </si>
  <si>
    <t>Functionality Name</t>
  </si>
  <si>
    <t>Section Reference/Feature</t>
  </si>
  <si>
    <t>Test Scenario</t>
  </si>
  <si>
    <t>User Type</t>
  </si>
  <si>
    <t>TC No</t>
  </si>
  <si>
    <t>Step no</t>
  </si>
  <si>
    <t>Syntax</t>
  </si>
  <si>
    <t>Test Case Input Specifications/ Test steps</t>
  </si>
  <si>
    <t>Test Case Output Specifications/ Expected results</t>
  </si>
  <si>
    <t>Data</t>
  </si>
  <si>
    <t>Dependency</t>
  </si>
  <si>
    <t>Suite Tag</t>
  </si>
  <si>
    <t>Release</t>
  </si>
  <si>
    <t>Execution Date
(yyyy-mm-dd)</t>
  </si>
  <si>
    <t>Status (P/ F/ B)</t>
  </si>
  <si>
    <t>Retest Count</t>
  </si>
  <si>
    <t>Test Case Observations</t>
  </si>
  <si>
    <t>Priority</t>
  </si>
  <si>
    <t>Ticket Number RT</t>
  </si>
  <si>
    <t>Ticket Number JIRA</t>
  </si>
  <si>
    <t>Automated Test Case</t>
  </si>
  <si>
    <t>Standard Test Case
(Core)</t>
  </si>
  <si>
    <t>Scheduled End Date
(yyyy-mm-dd)</t>
  </si>
  <si>
    <t>Actual End Date
(yyyy-mm-dd)</t>
  </si>
  <si>
    <t>Scheduled Acceptance Date (yyyy-mm-dd)</t>
  </si>
  <si>
    <t>Actual Acceptance Date (yyyy-mm-dd)</t>
  </si>
  <si>
    <t>Accepted (Y/N)</t>
  </si>
  <si>
    <t>Comments / Observations</t>
  </si>
  <si>
    <t>1.1. Reporte de instalación para el sistema</t>
  </si>
  <si>
    <t>Instalar el sistema en los ambientes definidos.</t>
  </si>
  <si>
    <t>Administrador</t>
  </si>
  <si>
    <t>TC000</t>
  </si>
  <si>
    <t>Given</t>
  </si>
  <si>
    <t>No</t>
  </si>
  <si>
    <t>Yes</t>
  </si>
  <si>
    <t>When</t>
  </si>
  <si>
    <t>Second step input.</t>
  </si>
  <si>
    <t>And</t>
  </si>
  <si>
    <t>Then</t>
  </si>
  <si>
    <t>Test case output.</t>
  </si>
  <si>
    <t>02. Generalidades</t>
  </si>
  <si>
    <t>2.1. Cabecera superior</t>
  </si>
  <si>
    <t>Redireccionar hacia la página principal</t>
  </si>
  <si>
    <t>Administrador, No Administrador</t>
  </si>
  <si>
    <t>TC001</t>
  </si>
  <si>
    <t>Redireccionar hacia las Nuevas Alertas</t>
  </si>
  <si>
    <t>TC002</t>
  </si>
  <si>
    <t>Cerrar sesión</t>
  </si>
  <si>
    <t>TC003</t>
  </si>
  <si>
    <t>2.2. Página principal de Inicio</t>
  </si>
  <si>
    <t>Visualizar el Horario Diario</t>
  </si>
  <si>
    <t>Visualizar entidades en Espera de Aprobación</t>
  </si>
  <si>
    <t>2.3. Menú</t>
  </si>
  <si>
    <t>Acceder a las opciones de menú y sub-menús</t>
  </si>
  <si>
    <t>Buscar menús y/o sub-menús</t>
  </si>
  <si>
    <t>2.4. Listar</t>
  </si>
  <si>
    <t>Verificar visualización de la sección Buscar</t>
  </si>
  <si>
    <t>4.1. Administración de Instituciones</t>
  </si>
  <si>
    <t>Crear una nueva institución - Ingreso correcto de todos los campos del formulario</t>
  </si>
  <si>
    <t>TC073</t>
  </si>
  <si>
    <t>Access the CSD system</t>
  </si>
  <si>
    <t>Navigate through the menu: Stakeholders / Institutions / Create</t>
  </si>
  <si>
    <t>The user fills out the form with the appropriate data.</t>
  </si>
  <si>
    <t>Click the "VALIDATE" button</t>
  </si>
  <si>
    <t>Successful validation. No errors found.</t>
  </si>
  <si>
    <t>Click the "SUBMIT" button</t>
  </si>
  <si>
    <t>The institution was successfully created and is now waiting for the approval step.</t>
  </si>
  <si>
    <t>Test Case No</t>
  </si>
  <si>
    <t>Field 1</t>
  </si>
  <si>
    <t>Field 2</t>
  </si>
  <si>
    <t>Field 3</t>
  </si>
  <si>
    <t>Field 4</t>
  </si>
  <si>
    <t>Field 5</t>
  </si>
  <si>
    <t>TC003 🔗</t>
  </si>
  <si>
    <t>value 123</t>
  </si>
  <si>
    <t>value ABC</t>
  </si>
  <si>
    <t>date DD/MM/YYYY</t>
  </si>
  <si>
    <t>X</t>
  </si>
  <si>
    <t>TC004 🔗</t>
  </si>
  <si>
    <t>null</t>
  </si>
  <si>
    <t>TC006 🔗</t>
  </si>
  <si>
    <t>TC007 🔗</t>
  </si>
  <si>
    <t>}</t>
  </si>
  <si>
    <t>Issue Key</t>
  </si>
  <si>
    <t>Test case name</t>
  </si>
  <si>
    <t>Test Step</t>
  </si>
  <si>
    <t>Test Result</t>
  </si>
  <si>
    <t>Test Data</t>
  </si>
  <si>
    <t xml:space="preserve">Prerequisites:
</t>
  </si>
  <si>
    <t>q</t>
  </si>
  <si>
    <t>daf</t>
  </si>
  <si>
    <t>adg</t>
  </si>
  <si>
    <t>wr</t>
  </si>
  <si>
    <t>df</t>
  </si>
  <si>
    <t>dfaf</t>
  </si>
  <si>
    <t>afda</t>
  </si>
  <si>
    <t>fad</t>
  </si>
  <si>
    <t>adf</t>
  </si>
  <si>
    <t>ad</t>
  </si>
  <si>
    <t>a</t>
  </si>
  <si>
    <t>gr</t>
  </si>
  <si>
    <t>ga</t>
  </si>
  <si>
    <t>eg</t>
  </si>
  <si>
    <t>sd</t>
  </si>
  <si>
    <t>g</t>
  </si>
  <si>
    <t>s</t>
  </si>
  <si>
    <t>ge</t>
  </si>
  <si>
    <t>ca</t>
  </si>
  <si>
    <t>eer</t>
  </si>
  <si>
    <t>Usuario_DATA</t>
  </si>
  <si>
    <t xml:space="preserve">Institucion_DATA </t>
  </si>
  <si>
    <t>Pass</t>
  </si>
  <si>
    <t>fecha</t>
  </si>
  <si>
    <t>Cuidad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</si>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</sst>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_ "/>
    <numFmt numFmtId="166" formatCode="yyyy\-mm\-dd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Garamond"/>
      <family val="1"/>
    </font>
    <font>
      <sz val="11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</font>
    <font>
      <b/>
      <sz val="11"/>
      <color rgb="FFFFFFFF"/>
      <name val="Garamond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2"/>
      <name val="Garamond"/>
      <family val="1"/>
    </font>
    <font>
      <b/>
      <sz val="11"/>
      <color rgb="FFC00000"/>
      <name val="Calibri"/>
      <family val="2"/>
    </font>
    <font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9681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009681"/>
      </right>
      <top/>
      <bottom style="medium">
        <color rgb="FF009681"/>
      </bottom>
      <diagonal/>
    </border>
    <border>
      <left/>
      <right/>
      <top/>
      <bottom style="medium">
        <color rgb="FF009681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009681"/>
      </left>
      <right style="medium">
        <color rgb="FF009681"/>
      </right>
      <top/>
      <bottom style="medium">
        <color rgb="FF009681"/>
      </bottom>
      <diagonal/>
    </border>
    <border>
      <left style="medium">
        <color rgb="FF009681"/>
      </left>
      <right/>
      <top/>
      <bottom style="medium">
        <color rgb="FF009681"/>
      </bottom>
      <diagonal/>
    </border>
    <border>
      <left/>
      <right/>
      <top/>
      <bottom style="medium">
        <color rgb="FFFFFFFF"/>
      </bottom>
      <diagonal/>
    </border>
    <border>
      <left/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/>
      <top/>
      <bottom style="medium">
        <color rgb="FFFFFFFF"/>
      </bottom>
      <diagonal/>
    </border>
    <border>
      <left style="medium">
        <color rgb="FF009681"/>
      </left>
      <right/>
      <top style="medium">
        <color rgb="FF009681"/>
      </top>
      <bottom style="medium">
        <color rgb="FF009681"/>
      </bottom>
      <diagonal/>
    </border>
    <border>
      <left/>
      <right/>
      <top style="medium">
        <color rgb="FF009681"/>
      </top>
      <bottom style="medium">
        <color rgb="FF009681"/>
      </bottom>
      <diagonal/>
    </border>
    <border>
      <left style="medium">
        <color rgb="FFFFFFFF"/>
      </left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0" borderId="0" applyNumberFormat="0" applyFill="0" applyBorder="0" applyAlignment="0" applyProtection="0"/>
    <xf numFmtId="0" fontId="12" fillId="0" borderId="0"/>
  </cellStyleXfs>
  <cellXfs count="8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right" vertical="top" wrapText="1"/>
    </xf>
    <xf numFmtId="0" fontId="4" fillId="4" borderId="2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right" vertical="top" wrapText="1"/>
    </xf>
    <xf numFmtId="0" fontId="0" fillId="4" borderId="4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3" fillId="0" borderId="1" xfId="3" applyBorder="1" applyAlignment="1">
      <alignment horizontal="left" vertical="top" wrapText="1"/>
    </xf>
    <xf numFmtId="1" fontId="0" fillId="0" borderId="0" xfId="0" applyNumberFormat="1" applyAlignment="1">
      <alignment vertical="top" wrapText="1"/>
    </xf>
    <xf numFmtId="164" fontId="0" fillId="0" borderId="1" xfId="0" applyNumberFormat="1" applyBorder="1" applyAlignment="1">
      <alignment horizontal="left" vertical="top" wrapText="1"/>
    </xf>
    <xf numFmtId="164" fontId="0" fillId="4" borderId="3" xfId="0" applyNumberFormat="1" applyFill="1" applyBorder="1" applyAlignment="1">
      <alignment horizontal="left" vertical="top" wrapText="1"/>
    </xf>
    <xf numFmtId="164" fontId="0" fillId="0" borderId="0" xfId="0" applyNumberFormat="1" applyAlignment="1">
      <alignment vertical="top" wrapText="1"/>
    </xf>
    <xf numFmtId="0" fontId="7" fillId="5" borderId="5" xfId="0" applyFont="1" applyFill="1" applyBorder="1" applyAlignment="1">
      <alignment vertical="center" wrapText="1"/>
    </xf>
    <xf numFmtId="0" fontId="6" fillId="0" borderId="6" xfId="0" applyFont="1" applyBorder="1" applyAlignment="1">
      <alignment horizontal="right" vertical="top" wrapText="1"/>
    </xf>
    <xf numFmtId="0" fontId="0" fillId="0" borderId="9" xfId="0" applyBorder="1" applyAlignment="1">
      <alignment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 wrapText="1"/>
    </xf>
    <xf numFmtId="0" fontId="9" fillId="6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0" fillId="0" borderId="0" xfId="0" applyAlignment="1">
      <alignment vertical="top"/>
    </xf>
    <xf numFmtId="0" fontId="10" fillId="5" borderId="1" xfId="0" applyFont="1" applyFill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7" fillId="5" borderId="8" xfId="0" applyFon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7" xfId="0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166" fontId="9" fillId="6" borderId="1" xfId="0" applyNumberFormat="1" applyFont="1" applyFill="1" applyBorder="1" applyAlignment="1">
      <alignment horizontal="center" vertical="top" wrapText="1"/>
    </xf>
    <xf numFmtId="166" fontId="0" fillId="0" borderId="1" xfId="0" applyNumberFormat="1" applyBorder="1" applyAlignment="1">
      <alignment horizontal="left" vertical="top" wrapText="1"/>
    </xf>
    <xf numFmtId="166" fontId="0" fillId="4" borderId="3" xfId="0" applyNumberFormat="1" applyFill="1" applyBorder="1" applyAlignment="1">
      <alignment horizontal="left" vertical="top" wrapText="1"/>
    </xf>
    <xf numFmtId="166" fontId="0" fillId="0" borderId="0" xfId="0" applyNumberFormat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2" fillId="0" borderId="0" xfId="4"/>
    <xf numFmtId="0" fontId="6" fillId="0" borderId="6" xfId="4" applyFont="1" applyBorder="1" applyAlignment="1">
      <alignment horizontal="right" vertical="center" wrapText="1"/>
    </xf>
    <xf numFmtId="0" fontId="6" fillId="0" borderId="6" xfId="4" applyFont="1" applyBorder="1" applyAlignment="1">
      <alignment horizontal="right" vertical="top" wrapText="1"/>
    </xf>
    <xf numFmtId="0" fontId="13" fillId="0" borderId="15" xfId="4" applyFont="1" applyBorder="1" applyAlignment="1">
      <alignment horizontal="left" vertical="center" wrapText="1"/>
    </xf>
    <xf numFmtId="0" fontId="13" fillId="0" borderId="0" xfId="4" applyFont="1" applyAlignment="1">
      <alignment wrapText="1"/>
    </xf>
    <xf numFmtId="0" fontId="13" fillId="0" borderId="0" xfId="4" applyFont="1"/>
    <xf numFmtId="0" fontId="7" fillId="5" borderId="8" xfId="4" applyFont="1" applyFill="1" applyBorder="1" applyAlignment="1">
      <alignment vertical="center" wrapText="1"/>
    </xf>
    <xf numFmtId="0" fontId="14" fillId="5" borderId="8" xfId="4" applyFont="1" applyFill="1" applyBorder="1" applyAlignment="1">
      <alignment vertical="center" wrapText="1"/>
    </xf>
    <xf numFmtId="0" fontId="13" fillId="0" borderId="7" xfId="0" applyFont="1" applyBorder="1" applyAlignment="1">
      <alignment horizontal="left" vertical="top" wrapText="1"/>
    </xf>
    <xf numFmtId="0" fontId="13" fillId="0" borderId="9" xfId="4" applyFont="1" applyBorder="1" applyAlignment="1">
      <alignment vertical="center" wrapText="1"/>
    </xf>
    <xf numFmtId="0" fontId="13" fillId="0" borderId="7" xfId="0" applyFont="1" applyBorder="1" applyAlignment="1">
      <alignment vertical="top" wrapText="1"/>
    </xf>
    <xf numFmtId="0" fontId="4" fillId="0" borderId="0" xfId="4" applyFont="1"/>
    <xf numFmtId="0" fontId="13" fillId="0" borderId="7" xfId="4" applyFont="1" applyBorder="1" applyAlignment="1">
      <alignment horizontal="left" vertical="center" wrapText="1"/>
    </xf>
    <xf numFmtId="0" fontId="13" fillId="0" borderId="7" xfId="4" applyFont="1" applyBorder="1" applyAlignment="1">
      <alignment vertical="center" wrapText="1"/>
    </xf>
    <xf numFmtId="166" fontId="13" fillId="0" borderId="7" xfId="0" applyNumberFormat="1" applyFont="1" applyBorder="1" applyAlignment="1">
      <alignment horizontal="right" vertical="top" wrapText="1"/>
    </xf>
    <xf numFmtId="0" fontId="13" fillId="0" borderId="9" xfId="0" applyFont="1" applyBorder="1" applyAlignment="1">
      <alignment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0" xfId="0" applyFont="1" applyAlignment="1">
      <alignment vertical="top"/>
    </xf>
    <xf numFmtId="165" fontId="13" fillId="0" borderId="9" xfId="0" applyNumberFormat="1" applyFont="1" applyBorder="1" applyAlignment="1">
      <alignment vertical="top" wrapText="1"/>
    </xf>
    <xf numFmtId="14" fontId="13" fillId="0" borderId="7" xfId="4" applyNumberFormat="1" applyFont="1" applyBorder="1" applyAlignment="1">
      <alignment horizontal="right" vertical="top" wrapText="1"/>
    </xf>
    <xf numFmtId="0" fontId="15" fillId="6" borderId="1" xfId="0" applyFont="1" applyFill="1" applyBorder="1" applyAlignment="1">
      <alignment horizontal="center" vertical="top" wrapText="1"/>
    </xf>
    <xf numFmtId="14" fontId="0" fillId="0" borderId="0" xfId="0" applyNumberFormat="1"/>
    <xf numFmtId="0" fontId="16" fillId="0" borderId="0" xfId="3" applyFont="1"/>
    <xf numFmtId="0" fontId="0" fillId="0" borderId="1" xfId="0" quotePrefix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 wrapText="1"/>
    </xf>
    <xf numFmtId="0" fontId="13" fillId="0" borderId="14" xfId="4" applyFont="1" applyBorder="1" applyAlignment="1">
      <alignment horizontal="left" vertical="center" wrapText="1"/>
    </xf>
    <xf numFmtId="0" fontId="13" fillId="0" borderId="15" xfId="4" applyFont="1" applyBorder="1" applyAlignment="1">
      <alignment horizontal="left" vertical="center" wrapText="1"/>
    </xf>
    <xf numFmtId="0" fontId="7" fillId="5" borderId="5" xfId="4" applyFont="1" applyFill="1" applyBorder="1" applyAlignment="1">
      <alignment horizontal="left" vertical="center" wrapText="1"/>
    </xf>
    <xf numFmtId="0" fontId="7" fillId="5" borderId="16" xfId="4" applyFont="1" applyFill="1" applyBorder="1" applyAlignment="1">
      <alignment horizontal="left" vertical="center" wrapText="1"/>
    </xf>
    <xf numFmtId="0" fontId="7" fillId="5" borderId="0" xfId="4" applyFont="1" applyFill="1" applyAlignment="1">
      <alignment horizontal="left" vertical="center" wrapText="1"/>
    </xf>
    <xf numFmtId="0" fontId="13" fillId="0" borderId="10" xfId="4" applyFont="1" applyBorder="1" applyAlignment="1">
      <alignment horizontal="left" vertical="center" wrapText="1"/>
    </xf>
    <xf numFmtId="0" fontId="13" fillId="0" borderId="7" xfId="4" applyFont="1" applyBorder="1" applyAlignment="1">
      <alignment horizontal="left" vertical="center" wrapText="1"/>
    </xf>
    <xf numFmtId="0" fontId="7" fillId="5" borderId="5" xfId="0" applyFont="1" applyFill="1" applyBorder="1" applyAlignment="1">
      <alignment horizontal="right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</cellXfs>
  <cellStyles count="5">
    <cellStyle name="20% - Accent5 2" xfId="2" xr:uid="{00000000-0005-0000-0000-000000000000}"/>
    <cellStyle name="Accent1 2" xfId="1" xr:uid="{00000000-0005-0000-0000-000001000000}"/>
    <cellStyle name="Hyperlink" xfId="3" builtinId="8"/>
    <cellStyle name="Normal" xfId="0" builtinId="0"/>
    <cellStyle name="Normal 2" xfId="4" xr:uid="{A3FB7D54-585F-46B6-9A26-4FAC53277F02}"/>
  </cellStyles>
  <dxfs count="1">
    <dxf>
      <fill>
        <patternFill>
          <bgColor theme="7"/>
        </patternFill>
      </fill>
    </dxf>
  </dxfs>
  <tableStyles count="0" defaultTableStyle="TableStyleMedium2" defaultPivotStyle="PivotStyleLight16"/>
  <colors>
    <mruColors>
      <color rgb="FF0096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75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heetMetadata" Target="metadata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QA TC Execution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'Execution Metrics'!$A$2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C7-4B2D-B59B-A2BC72331FE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C7-4B2D-B59B-A2BC72331F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C7-4B2D-B59B-A2BC72331FED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F2EBB54-891F-4B21-8D02-B14BD8984DB7}" type="VALUE">
                      <a:rPr lang="en-US">
                        <a:solidFill>
                          <a:schemeClr val="accent2">
                            <a:lumMod val="50000"/>
                          </a:schemeClr>
                        </a:solidFill>
                      </a:rPr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[VALUE]</a:t>
                    </a:fld>
                    <a:endParaRPr lang="en-US" baseline="0">
                      <a:solidFill>
                        <a:schemeClr val="accent2">
                          <a:lumMod val="50000"/>
                        </a:schemeClr>
                      </a:solidFill>
                    </a:endParaRPr>
                  </a:p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E5AC6F7-C84C-40EA-8F60-6B63A8223C1A}" type="PERCENTAGE">
                      <a:rPr lang="en-US">
                        <a:solidFill>
                          <a:schemeClr val="accent2">
                            <a:lumMod val="50000"/>
                          </a:schemeClr>
                        </a:solidFill>
                      </a:rPr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AC7-4B2D-B59B-A2BC72331FE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78CB647-ADEC-4C5C-B6F3-87FB3558F10F}" type="VALUE">
                      <a:rPr lang="en-US" b="1">
                        <a:solidFill>
                          <a:schemeClr val="accent2">
                            <a:lumMod val="50000"/>
                          </a:schemeClr>
                        </a:solidFill>
                      </a:rPr>
                      <a:pPr/>
                      <a:t>[VALUE]</a:t>
                    </a:fld>
                    <a:endParaRPr lang="en-US" b="1" baseline="0">
                      <a:solidFill>
                        <a:schemeClr val="accent2">
                          <a:lumMod val="50000"/>
                        </a:schemeClr>
                      </a:solidFill>
                    </a:endParaRPr>
                  </a:p>
                  <a:p>
                    <a:fld id="{7DE4C413-4160-4CED-9C1C-4A7C9AAF16E8}" type="PERCENTAGE">
                      <a:rPr lang="en-US" b="1">
                        <a:solidFill>
                          <a:schemeClr val="accent2">
                            <a:lumMod val="50000"/>
                          </a:schemeClr>
                        </a:solidFill>
                      </a:rPr>
                      <a:pPr/>
                      <a:t>[PERCENTAGE]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AC7-4B2D-B59B-A2BC72331FED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93F7C8C-9C48-4734-B765-D78B0268D6AE}" type="VALUE">
                      <a:rPr lang="en-US" b="1"/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[VALUE]</a:t>
                    </a:fld>
                    <a:endParaRPr lang="en-US" b="1" baseline="0">
                      <a:solidFill>
                        <a:schemeClr val="accent2">
                          <a:lumMod val="50000"/>
                        </a:schemeClr>
                      </a:solidFill>
                    </a:endParaRPr>
                  </a:p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9A5A653-9FB1-444C-A5F4-5032F3B63CA3}" type="PERCENTAGE">
                      <a:rPr lang="en-US" b="1"/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AC7-4B2D-B59B-A2BC72331F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'Execution Metrics'!$C$1:$E$1</c:f>
              <c:strCache>
                <c:ptCount val="3"/>
                <c:pt idx="0">
                  <c:v>Passed</c:v>
                </c:pt>
                <c:pt idx="1">
                  <c:v>Failed/ Blocked</c:v>
                </c:pt>
                <c:pt idx="2">
                  <c:v>Not Run</c:v>
                </c:pt>
              </c:strCache>
            </c:strRef>
          </c:cat>
          <c:val>
            <c:numRef>
              <c:f>'Execution Metrics'!$C$2:$E$2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C7-4B2D-B59B-A2BC72331FE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QA TC Execution per Functionality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'Execution Metrics'!$C$4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'Execution Metrics'!$A$5:$A$25</c:f>
              <c:strCache>
                <c:ptCount val="21"/>
                <c:pt idx="0">
                  <c:v>01. Instalación</c:v>
                </c:pt>
                <c:pt idx="1">
                  <c:v>02. Configuración del Sistema</c:v>
                </c:pt>
                <c:pt idx="2">
                  <c:v>03. Autenticación de Usuario y Control de Acceso</c:v>
                </c:pt>
                <c:pt idx="3">
                  <c:v>04. Actores</c:v>
                </c:pt>
                <c:pt idx="4">
                  <c:v>05. Instrumentos Financieros</c:v>
                </c:pt>
                <c:pt idx="5">
                  <c:v>06. Cuentas</c:v>
                </c:pt>
                <c:pt idx="6">
                  <c:v>07. Subasta</c:v>
                </c:pt>
                <c:pt idx="7">
                  <c:v>08. Acciones Corporativas</c:v>
                </c:pt>
                <c:pt idx="8">
                  <c:v>09. Liquidación</c:v>
                </c:pt>
                <c:pt idx="9">
                  <c:v>10. Parametrización del sistema</c:v>
                </c:pt>
                <c:pt idx="10">
                  <c:v>11. Operaciones y Transacciones de Valores</c:v>
                </c:pt>
                <c:pt idx="11">
                  <c:v>12. Elegibilidad de Colaterales</c:v>
                </c:pt>
                <c:pt idx="12">
                  <c:v>13. Impuestos</c:v>
                </c:pt>
                <c:pt idx="13">
                  <c:v>14. Mantenimiento</c:v>
                </c:pt>
                <c:pt idx="14">
                  <c:v>15. Alertas del Sistema</c:v>
                </c:pt>
                <c:pt idx="15">
                  <c:v>16. Monitoreo</c:v>
                </c:pt>
                <c:pt idx="16">
                  <c:v>17. Facturación</c:v>
                </c:pt>
                <c:pt idx="17">
                  <c:v>18. Enrutamiento</c:v>
                </c:pt>
                <c:pt idx="18">
                  <c:v>19. Interfaces</c:v>
                </c:pt>
                <c:pt idx="19">
                  <c:v>20. Reportes</c:v>
                </c:pt>
                <c:pt idx="20">
                  <c:v>21. Migración</c:v>
                </c:pt>
              </c:strCache>
            </c:strRef>
          </c:cat>
          <c:val>
            <c:numRef>
              <c:f>'Execution Metrics'!$C$5:$C$25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8-4200-A873-E95BD6C8A18A}"/>
            </c:ext>
          </c:extLst>
        </c:ser>
        <c:ser>
          <c:idx val="1"/>
          <c:order val="1"/>
          <c:tx>
            <c:strRef>
              <c:f>'Execution Metrics'!$D$4</c:f>
              <c:strCache>
                <c:ptCount val="1"/>
                <c:pt idx="0">
                  <c:v>Failed/ Blocked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'Execution Metrics'!$A$5:$A$25</c:f>
              <c:strCache>
                <c:ptCount val="21"/>
                <c:pt idx="0">
                  <c:v>01. Instalación</c:v>
                </c:pt>
                <c:pt idx="1">
                  <c:v>02. Configuración del Sistema</c:v>
                </c:pt>
                <c:pt idx="2">
                  <c:v>03. Autenticación de Usuario y Control de Acceso</c:v>
                </c:pt>
                <c:pt idx="3">
                  <c:v>04. Actores</c:v>
                </c:pt>
                <c:pt idx="4">
                  <c:v>05. Instrumentos Financieros</c:v>
                </c:pt>
                <c:pt idx="5">
                  <c:v>06. Cuentas</c:v>
                </c:pt>
                <c:pt idx="6">
                  <c:v>07. Subasta</c:v>
                </c:pt>
                <c:pt idx="7">
                  <c:v>08. Acciones Corporativas</c:v>
                </c:pt>
                <c:pt idx="8">
                  <c:v>09. Liquidación</c:v>
                </c:pt>
                <c:pt idx="9">
                  <c:v>10. Parametrización del sistema</c:v>
                </c:pt>
                <c:pt idx="10">
                  <c:v>11. Operaciones y Transacciones de Valores</c:v>
                </c:pt>
                <c:pt idx="11">
                  <c:v>12. Elegibilidad de Colaterales</c:v>
                </c:pt>
                <c:pt idx="12">
                  <c:v>13. Impuestos</c:v>
                </c:pt>
                <c:pt idx="13">
                  <c:v>14. Mantenimiento</c:v>
                </c:pt>
                <c:pt idx="14">
                  <c:v>15. Alertas del Sistema</c:v>
                </c:pt>
                <c:pt idx="15">
                  <c:v>16. Monitoreo</c:v>
                </c:pt>
                <c:pt idx="16">
                  <c:v>17. Facturación</c:v>
                </c:pt>
                <c:pt idx="17">
                  <c:v>18. Enrutamiento</c:v>
                </c:pt>
                <c:pt idx="18">
                  <c:v>19. Interfaces</c:v>
                </c:pt>
                <c:pt idx="19">
                  <c:v>20. Reportes</c:v>
                </c:pt>
                <c:pt idx="20">
                  <c:v>21. Migración</c:v>
                </c:pt>
              </c:strCache>
            </c:strRef>
          </c:cat>
          <c:val>
            <c:numRef>
              <c:f>'Execution Metrics'!$D$5:$D$25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28-4200-A873-E95BD6C8A18A}"/>
            </c:ext>
          </c:extLst>
        </c:ser>
        <c:ser>
          <c:idx val="2"/>
          <c:order val="2"/>
          <c:tx>
            <c:strRef>
              <c:f>'Execution Metrics'!$E$4</c:f>
              <c:strCache>
                <c:ptCount val="1"/>
                <c:pt idx="0">
                  <c:v>Not Run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'Execution Metrics'!$A$5:$A$25</c:f>
              <c:strCache>
                <c:ptCount val="21"/>
                <c:pt idx="0">
                  <c:v>01. Instalación</c:v>
                </c:pt>
                <c:pt idx="1">
                  <c:v>02. Configuración del Sistema</c:v>
                </c:pt>
                <c:pt idx="2">
                  <c:v>03. Autenticación de Usuario y Control de Acceso</c:v>
                </c:pt>
                <c:pt idx="3">
                  <c:v>04. Actores</c:v>
                </c:pt>
                <c:pt idx="4">
                  <c:v>05. Instrumentos Financieros</c:v>
                </c:pt>
                <c:pt idx="5">
                  <c:v>06. Cuentas</c:v>
                </c:pt>
                <c:pt idx="6">
                  <c:v>07. Subasta</c:v>
                </c:pt>
                <c:pt idx="7">
                  <c:v>08. Acciones Corporativas</c:v>
                </c:pt>
                <c:pt idx="8">
                  <c:v>09. Liquidación</c:v>
                </c:pt>
                <c:pt idx="9">
                  <c:v>10. Parametrización del sistema</c:v>
                </c:pt>
                <c:pt idx="10">
                  <c:v>11. Operaciones y Transacciones de Valores</c:v>
                </c:pt>
                <c:pt idx="11">
                  <c:v>12. Elegibilidad de Colaterales</c:v>
                </c:pt>
                <c:pt idx="12">
                  <c:v>13. Impuestos</c:v>
                </c:pt>
                <c:pt idx="13">
                  <c:v>14. Mantenimiento</c:v>
                </c:pt>
                <c:pt idx="14">
                  <c:v>15. Alertas del Sistema</c:v>
                </c:pt>
                <c:pt idx="15">
                  <c:v>16. Monitoreo</c:v>
                </c:pt>
                <c:pt idx="16">
                  <c:v>17. Facturación</c:v>
                </c:pt>
                <c:pt idx="17">
                  <c:v>18. Enrutamiento</c:v>
                </c:pt>
                <c:pt idx="18">
                  <c:v>19. Interfaces</c:v>
                </c:pt>
                <c:pt idx="19">
                  <c:v>20. Reportes</c:v>
                </c:pt>
                <c:pt idx="20">
                  <c:v>21. Migración</c:v>
                </c:pt>
              </c:strCache>
            </c:strRef>
          </c:cat>
          <c:val>
            <c:numRef>
              <c:f>'Execution Metrics'!$E$5:$E$25</c:f>
              <c:numCache>
                <c:formatCode>General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28-4200-A873-E95BD6C8A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3960063"/>
        <c:axId val="1539101119"/>
      </c:barChart>
      <c:catAx>
        <c:axId val="1533960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539101119"/>
        <c:crosses val="autoZero"/>
        <c:auto val="1"/>
        <c:lblAlgn val="ctr"/>
        <c:lblOffset val="100"/>
        <c:noMultiLvlLbl val="0"/>
      </c:catAx>
      <c:valAx>
        <c:axId val="153910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53396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</a:t>
            </a:r>
            <a:r>
              <a:rPr lang="en-US" baseline="0"/>
              <a:t> distribution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by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'Defect Metrics 1'!$A$2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8F-4765-89E7-88415B3F173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8F-4765-89E7-88415B3F1739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F2EBB54-891F-4B21-8D02-B14BD8984DB7}" type="VALUE">
                      <a:rPr lang="en-US">
                        <a:solidFill>
                          <a:schemeClr val="accent2">
                            <a:lumMod val="50000"/>
                          </a:schemeClr>
                        </a:solidFill>
                      </a:rPr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[VALUE]</a:t>
                    </a:fld>
                    <a:endParaRPr lang="en-US" baseline="0">
                      <a:solidFill>
                        <a:schemeClr val="accent2">
                          <a:lumMod val="50000"/>
                        </a:schemeClr>
                      </a:solidFill>
                    </a:endParaRPr>
                  </a:p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E5AC6F7-C84C-40EA-8F60-6B63A8223C1A}" type="PERCENTAGE">
                      <a:rPr lang="en-US">
                        <a:solidFill>
                          <a:schemeClr val="accent2">
                            <a:lumMod val="50000"/>
                          </a:schemeClr>
                        </a:solidFill>
                      </a:rPr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18F-4765-89E7-88415B3F1739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93F7C8C-9C48-4734-B765-D78B0268D6AE}" type="VALUE">
                      <a:rPr lang="en-US" b="1"/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[VALUE]</a:t>
                    </a:fld>
                    <a:endParaRPr lang="en-US" b="1" baseline="0"/>
                  </a:p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9A5A653-9FB1-444C-A5F4-5032F3B63CA3}" type="PERCENTAGE">
                      <a:rPr lang="en-US" b="1"/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18F-4765-89E7-88415B3F17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'Defect Metrics 1'!$C$1:$D$1</c:f>
              <c:strCache>
                <c:ptCount val="2"/>
                <c:pt idx="0">
                  <c:v>Open</c:v>
                </c:pt>
                <c:pt idx="1">
                  <c:v>Closed</c:v>
                </c:pt>
              </c:strCache>
            </c:strRef>
          </c:cat>
          <c:val>
            <c:numRef>
              <c:f>'Defect Metrics 1'!$C$2:$D$2</c:f>
              <c:numCache>
                <c:formatCode>General</c:formatCode>
                <c:ptCount val="2"/>
                <c:pt idx="0">
                  <c:v>10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8F-4765-89E7-88415B3F173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 distribution per Functionality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'Defect Metrics 1'!$C$4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'Defect Metrics 1'!$A$5:$A$18</c:f>
              <c:strCache>
                <c:ptCount val="14"/>
                <c:pt idx="0">
                  <c:v>01. First functionality</c:v>
                </c:pt>
                <c:pt idx="1">
                  <c:v>02. Second functionality</c:v>
                </c:pt>
                <c:pt idx="2">
                  <c:v>03. ---</c:v>
                </c:pt>
                <c:pt idx="3">
                  <c:v>04. ---</c:v>
                </c:pt>
                <c:pt idx="4">
                  <c:v>05. ---</c:v>
                </c:pt>
                <c:pt idx="5">
                  <c:v>06. ---</c:v>
                </c:pt>
                <c:pt idx="6">
                  <c:v>07. ---</c:v>
                </c:pt>
                <c:pt idx="7">
                  <c:v>08. ---</c:v>
                </c:pt>
                <c:pt idx="8">
                  <c:v>09. ---</c:v>
                </c:pt>
                <c:pt idx="9">
                  <c:v>10. ---</c:v>
                </c:pt>
                <c:pt idx="10">
                  <c:v>11. ---</c:v>
                </c:pt>
                <c:pt idx="11">
                  <c:v>12. ---</c:v>
                </c:pt>
                <c:pt idx="12">
                  <c:v>13. ---</c:v>
                </c:pt>
                <c:pt idx="13">
                  <c:v>14. ---</c:v>
                </c:pt>
              </c:strCache>
            </c:strRef>
          </c:cat>
          <c:val>
            <c:numRef>
              <c:f>'Defect Metrics 1'!$C$5:$C$18</c:f>
              <c:numCache>
                <c:formatCode>General</c:formatCode>
                <c:ptCount val="14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E-45F3-B197-0ADC68AA8322}"/>
            </c:ext>
          </c:extLst>
        </c:ser>
        <c:ser>
          <c:idx val="2"/>
          <c:order val="1"/>
          <c:tx>
            <c:strRef>
              <c:f>'Defect Metrics 1'!$D$4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6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'Defect Metrics 1'!$A$5:$A$18</c:f>
              <c:strCache>
                <c:ptCount val="14"/>
                <c:pt idx="0">
                  <c:v>01. First functionality</c:v>
                </c:pt>
                <c:pt idx="1">
                  <c:v>02. Second functionality</c:v>
                </c:pt>
                <c:pt idx="2">
                  <c:v>03. ---</c:v>
                </c:pt>
                <c:pt idx="3">
                  <c:v>04. ---</c:v>
                </c:pt>
                <c:pt idx="4">
                  <c:v>05. ---</c:v>
                </c:pt>
                <c:pt idx="5">
                  <c:v>06. ---</c:v>
                </c:pt>
                <c:pt idx="6">
                  <c:v>07. ---</c:v>
                </c:pt>
                <c:pt idx="7">
                  <c:v>08. ---</c:v>
                </c:pt>
                <c:pt idx="8">
                  <c:v>09. ---</c:v>
                </c:pt>
                <c:pt idx="9">
                  <c:v>10. ---</c:v>
                </c:pt>
                <c:pt idx="10">
                  <c:v>11. ---</c:v>
                </c:pt>
                <c:pt idx="11">
                  <c:v>12. ---</c:v>
                </c:pt>
                <c:pt idx="12">
                  <c:v>13. ---</c:v>
                </c:pt>
                <c:pt idx="13">
                  <c:v>14. ---</c:v>
                </c:pt>
              </c:strCache>
            </c:strRef>
          </c:cat>
          <c:val>
            <c:numRef>
              <c:f>'Defect Metrics 1'!$D$5:$D$18</c:f>
              <c:numCache>
                <c:formatCode>General</c:formatCode>
                <c:ptCount val="14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6E-45F3-B197-0ADC68AA8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3960063"/>
        <c:axId val="1539101119"/>
      </c:barChart>
      <c:catAx>
        <c:axId val="1533960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539101119"/>
        <c:crosses val="autoZero"/>
        <c:auto val="1"/>
        <c:lblAlgn val="ctr"/>
        <c:lblOffset val="100"/>
        <c:noMultiLvlLbl val="0"/>
      </c:catAx>
      <c:valAx>
        <c:axId val="153910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53396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 distribution by severity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'Defect Metrics 2'!$A$2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E1-4A16-9841-BC9B68E5F4D4}"/>
              </c:ext>
            </c:extLst>
          </c:dPt>
          <c:dPt>
            <c:idx val="1"/>
            <c:bubble3D val="0"/>
            <c:spPr>
              <a:solidFill>
                <a:srgbClr val="00968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E1-4A16-9841-BC9B68E5F4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E1-4A16-9841-BC9B68E5F4D4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F2EBB54-891F-4B21-8D02-B14BD8984DB7}" type="VALUE">
                      <a:rPr lang="en-US">
                        <a:solidFill>
                          <a:schemeClr val="accent2">
                            <a:lumMod val="50000"/>
                          </a:schemeClr>
                        </a:solidFill>
                      </a:rPr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[VALUE]</a:t>
                    </a:fld>
                    <a:endParaRPr lang="en-US" baseline="0">
                      <a:solidFill>
                        <a:schemeClr val="accent2">
                          <a:lumMod val="50000"/>
                        </a:schemeClr>
                      </a:solidFill>
                    </a:endParaRPr>
                  </a:p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E5AC6F7-C84C-40EA-8F60-6B63A8223C1A}" type="PERCENTAGE">
                      <a:rPr lang="en-US">
                        <a:solidFill>
                          <a:schemeClr val="accent2">
                            <a:lumMod val="50000"/>
                          </a:schemeClr>
                        </a:solidFill>
                      </a:rPr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8E1-4A16-9841-BC9B68E5F4D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78CB647-ADEC-4C5C-B6F3-87FB3558F10F}" type="VALUE">
                      <a:rPr lang="en-US" b="1">
                        <a:solidFill>
                          <a:schemeClr val="accent2">
                            <a:lumMod val="50000"/>
                          </a:schemeClr>
                        </a:solidFill>
                      </a:rPr>
                      <a:pPr/>
                      <a:t>[VALUE]</a:t>
                    </a:fld>
                    <a:endParaRPr lang="en-US" b="1" baseline="0">
                      <a:solidFill>
                        <a:schemeClr val="accent2">
                          <a:lumMod val="50000"/>
                        </a:schemeClr>
                      </a:solidFill>
                    </a:endParaRPr>
                  </a:p>
                  <a:p>
                    <a:fld id="{7DE4C413-4160-4CED-9C1C-4A7C9AAF16E8}" type="PERCENTAGE">
                      <a:rPr lang="en-US" b="1">
                        <a:solidFill>
                          <a:schemeClr val="accent2">
                            <a:lumMod val="50000"/>
                          </a:schemeClr>
                        </a:solidFill>
                      </a:rPr>
                      <a:pPr/>
                      <a:t>[PERCENTAGE]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8E1-4A16-9841-BC9B68E5F4D4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93F7C8C-9C48-4734-B765-D78B0268D6AE}" type="VALUE">
                      <a:rPr lang="en-US" b="1"/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[VALUE]</a:t>
                    </a:fld>
                    <a:endParaRPr lang="en-US" b="1" baseline="0"/>
                  </a:p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9A5A653-9FB1-444C-A5F4-5032F3B63CA3}" type="PERCENTAGE">
                      <a:rPr lang="en-US" b="1"/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98E1-4A16-9841-BC9B68E5F4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'Defect Metrics 2'!$C$1:$E$1</c:f>
              <c:strCache>
                <c:ptCount val="3"/>
                <c:pt idx="0">
                  <c:v>High/ Blocking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'Defect Metrics 2'!$C$2:$E$2</c:f>
              <c:numCache>
                <c:formatCode>General</c:formatCode>
                <c:ptCount val="3"/>
                <c:pt idx="0">
                  <c:v>1</c:v>
                </c:pt>
                <c:pt idx="1">
                  <c:v>18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E1-4A16-9841-BC9B68E5F4D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 distribution per Functionality by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'Defect Metrics 2'!$C$4</c:f>
              <c:strCache>
                <c:ptCount val="1"/>
                <c:pt idx="0">
                  <c:v>High/ Blocking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'Defect Metrics 2'!$A$5:$A$18</c:f>
              <c:strCache>
                <c:ptCount val="14"/>
                <c:pt idx="0">
                  <c:v>01. First functionality</c:v>
                </c:pt>
                <c:pt idx="1">
                  <c:v>02. Second functionality</c:v>
                </c:pt>
                <c:pt idx="2">
                  <c:v>03. ---</c:v>
                </c:pt>
                <c:pt idx="3">
                  <c:v>04. ---</c:v>
                </c:pt>
                <c:pt idx="4">
                  <c:v>05. ---</c:v>
                </c:pt>
                <c:pt idx="5">
                  <c:v>06. ---</c:v>
                </c:pt>
                <c:pt idx="6">
                  <c:v>07. ---</c:v>
                </c:pt>
                <c:pt idx="7">
                  <c:v>08. ---</c:v>
                </c:pt>
                <c:pt idx="8">
                  <c:v>09. ---</c:v>
                </c:pt>
                <c:pt idx="9">
                  <c:v>10. ---</c:v>
                </c:pt>
                <c:pt idx="10">
                  <c:v>11. ---</c:v>
                </c:pt>
                <c:pt idx="11">
                  <c:v>12. ---</c:v>
                </c:pt>
                <c:pt idx="12">
                  <c:v>13. ---</c:v>
                </c:pt>
                <c:pt idx="13">
                  <c:v>14. ---</c:v>
                </c:pt>
              </c:strCache>
            </c:strRef>
          </c:cat>
          <c:val>
            <c:numRef>
              <c:f>'Defect Metrics 2'!$C$5:$C$18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A-49BC-86B7-0F9466709F70}"/>
            </c:ext>
          </c:extLst>
        </c:ser>
        <c:ser>
          <c:idx val="1"/>
          <c:order val="1"/>
          <c:tx>
            <c:strRef>
              <c:f>'Defect Metrics 2'!$D$4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'Defect Metrics 2'!$A$5:$A$18</c:f>
              <c:strCache>
                <c:ptCount val="14"/>
                <c:pt idx="0">
                  <c:v>01. First functionality</c:v>
                </c:pt>
                <c:pt idx="1">
                  <c:v>02. Second functionality</c:v>
                </c:pt>
                <c:pt idx="2">
                  <c:v>03. ---</c:v>
                </c:pt>
                <c:pt idx="3">
                  <c:v>04. ---</c:v>
                </c:pt>
                <c:pt idx="4">
                  <c:v>05. ---</c:v>
                </c:pt>
                <c:pt idx="5">
                  <c:v>06. ---</c:v>
                </c:pt>
                <c:pt idx="6">
                  <c:v>07. ---</c:v>
                </c:pt>
                <c:pt idx="7">
                  <c:v>08. ---</c:v>
                </c:pt>
                <c:pt idx="8">
                  <c:v>09. ---</c:v>
                </c:pt>
                <c:pt idx="9">
                  <c:v>10. ---</c:v>
                </c:pt>
                <c:pt idx="10">
                  <c:v>11. ---</c:v>
                </c:pt>
                <c:pt idx="11">
                  <c:v>12. ---</c:v>
                </c:pt>
                <c:pt idx="12">
                  <c:v>13. ---</c:v>
                </c:pt>
                <c:pt idx="13">
                  <c:v>14. ---</c:v>
                </c:pt>
              </c:strCache>
            </c:strRef>
          </c:cat>
          <c:val>
            <c:numRef>
              <c:f>'Defect Metrics 2'!$D$5:$D$18</c:f>
              <c:numCache>
                <c:formatCode>General</c:formatCode>
                <c:ptCount val="14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3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EA-49BC-86B7-0F9466709F70}"/>
            </c:ext>
          </c:extLst>
        </c:ser>
        <c:ser>
          <c:idx val="2"/>
          <c:order val="2"/>
          <c:tx>
            <c:strRef>
              <c:f>'Defect Metrics 2'!$E$4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'Defect Metrics 2'!$A$5:$A$18</c:f>
              <c:strCache>
                <c:ptCount val="14"/>
                <c:pt idx="0">
                  <c:v>01. First functionality</c:v>
                </c:pt>
                <c:pt idx="1">
                  <c:v>02. Second functionality</c:v>
                </c:pt>
                <c:pt idx="2">
                  <c:v>03. ---</c:v>
                </c:pt>
                <c:pt idx="3">
                  <c:v>04. ---</c:v>
                </c:pt>
                <c:pt idx="4">
                  <c:v>05. ---</c:v>
                </c:pt>
                <c:pt idx="5">
                  <c:v>06. ---</c:v>
                </c:pt>
                <c:pt idx="6">
                  <c:v>07. ---</c:v>
                </c:pt>
                <c:pt idx="7">
                  <c:v>08. ---</c:v>
                </c:pt>
                <c:pt idx="8">
                  <c:v>09. ---</c:v>
                </c:pt>
                <c:pt idx="9">
                  <c:v>10. ---</c:v>
                </c:pt>
                <c:pt idx="10">
                  <c:v>11. ---</c:v>
                </c:pt>
                <c:pt idx="11">
                  <c:v>12. ---</c:v>
                </c:pt>
                <c:pt idx="12">
                  <c:v>13. ---</c:v>
                </c:pt>
                <c:pt idx="13">
                  <c:v>14. ---</c:v>
                </c:pt>
              </c:strCache>
            </c:strRef>
          </c:cat>
          <c:val>
            <c:numRef>
              <c:f>'Defect Metrics 2'!$E$5:$E$18</c:f>
              <c:numCache>
                <c:formatCode>General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EA-49BC-86B7-0F9466709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3960063"/>
        <c:axId val="1539101119"/>
      </c:barChart>
      <c:catAx>
        <c:axId val="1533960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539101119"/>
        <c:crosses val="autoZero"/>
        <c:auto val="1"/>
        <c:lblAlgn val="ctr"/>
        <c:lblOffset val="100"/>
        <c:noMultiLvlLbl val="0"/>
      </c:catAx>
      <c:valAx>
        <c:axId val="153910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53396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0</xdr:row>
      <xdr:rowOff>15240</xdr:rowOff>
    </xdr:from>
    <xdr:to>
      <xdr:col>8</xdr:col>
      <xdr:colOff>419100</xdr:colOff>
      <xdr:row>12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B99D9B-5A98-4506-965E-464D14E81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510540</xdr:colOff>
      <xdr:row>0</xdr:row>
      <xdr:rowOff>7620</xdr:rowOff>
    </xdr:from>
    <xdr:to>
      <xdr:col>16</xdr:col>
      <xdr:colOff>518160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4D7D28-4777-4B46-BA13-B4D5E9E0C18C}"/>
            </a:ext>
            <a:ext uri="{147F2762-F138-4A5C-976F-8EAC2B608ADB}">
              <a16:predDERef xmlns:a16="http://schemas.microsoft.com/office/drawing/2014/main" pred="{98B99D9B-5A98-4506-965E-464D14E81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0</xdr:row>
      <xdr:rowOff>15240</xdr:rowOff>
    </xdr:from>
    <xdr:to>
      <xdr:col>7</xdr:col>
      <xdr:colOff>441960</xdr:colOff>
      <xdr:row>12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D810BE-A2D9-4AFD-AEC8-D1294B720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510540</xdr:colOff>
      <xdr:row>0</xdr:row>
      <xdr:rowOff>7620</xdr:rowOff>
    </xdr:from>
    <xdr:to>
      <xdr:col>15</xdr:col>
      <xdr:colOff>518160</xdr:colOff>
      <xdr:row>19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649988-1AA2-4E0E-B234-2B9BA7FCDA93}"/>
            </a:ext>
            <a:ext uri="{147F2762-F138-4A5C-976F-8EAC2B608ADB}">
              <a16:predDERef xmlns:a16="http://schemas.microsoft.com/office/drawing/2014/main" pred="{BCD810BE-A2D9-4AFD-AEC8-D1294B720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0</xdr:row>
      <xdr:rowOff>15240</xdr:rowOff>
    </xdr:from>
    <xdr:to>
      <xdr:col>8</xdr:col>
      <xdr:colOff>441960</xdr:colOff>
      <xdr:row>12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898313-2B12-4EC3-A544-22F98B672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510540</xdr:colOff>
      <xdr:row>0</xdr:row>
      <xdr:rowOff>7620</xdr:rowOff>
    </xdr:from>
    <xdr:to>
      <xdr:col>16</xdr:col>
      <xdr:colOff>518160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79FD02-EC8B-4DE2-848C-19E4D5BC67CD}"/>
            </a:ext>
            <a:ext uri="{147F2762-F138-4A5C-976F-8EAC2B608ADB}">
              <a16:predDERef xmlns:a16="http://schemas.microsoft.com/office/drawing/2014/main" pred="{06898313-2B12-4EC3-A544-22F98B672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Test tables">
      <a:dk1>
        <a:srgbClr val="4B4F54"/>
      </a:dk1>
      <a:lt1>
        <a:srgbClr val="FFFFFF"/>
      </a:lt1>
      <a:dk2>
        <a:srgbClr val="009681"/>
      </a:dk2>
      <a:lt2>
        <a:srgbClr val="FFFFFF"/>
      </a:lt2>
      <a:accent1>
        <a:srgbClr val="41B3A3"/>
      </a:accent1>
      <a:accent2>
        <a:srgbClr val="D2D4D7"/>
      </a:accent2>
      <a:accent3>
        <a:srgbClr val="BBEBDE"/>
      </a:accent3>
      <a:accent4>
        <a:srgbClr val="E2F3F1"/>
      </a:accent4>
      <a:accent5>
        <a:srgbClr val="C4DACF"/>
      </a:accent5>
      <a:accent6>
        <a:srgbClr val="B7E7E3"/>
      </a:accent6>
      <a:hlink>
        <a:srgbClr val="E69858"/>
      </a:hlink>
      <a:folHlink>
        <a:srgbClr val="CF6E1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Glossy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CEBE-79EA-4394-A458-291F42ADB3B7}">
  <sheetPr codeName="Hoja1">
    <tabColor rgb="FF009681"/>
  </sheetPr>
  <dimension ref="B2:H34"/>
  <sheetViews>
    <sheetView workbookViewId="0">
      <selection activeCell="A2" sqref="A2"/>
    </sheetView>
  </sheetViews>
  <sheetFormatPr defaultColWidth="9.109375" defaultRowHeight="14.4" x14ac:dyDescent="0.3"/>
  <cols>
    <col min="1" max="1" width="2.44140625" style="42" customWidth="1"/>
    <col min="2" max="2" width="22.88671875" style="42" customWidth="1"/>
    <col min="3" max="3" width="27.6640625" style="46" customWidth="1"/>
    <col min="4" max="5" width="18.33203125" style="47" customWidth="1"/>
    <col min="6" max="16384" width="9.109375" style="42"/>
  </cols>
  <sheetData>
    <row r="2" spans="2:8" ht="37.5" customHeight="1" x14ac:dyDescent="0.3">
      <c r="B2" s="72" t="s">
        <v>0</v>
      </c>
      <c r="C2" s="72"/>
      <c r="D2" s="72"/>
      <c r="E2" s="72"/>
    </row>
    <row r="3" spans="2:8" ht="15" customHeight="1" thickBot="1" x14ac:dyDescent="0.35">
      <c r="B3" s="43" t="s">
        <v>1</v>
      </c>
      <c r="C3" s="73" t="s">
        <v>2</v>
      </c>
      <c r="D3" s="74"/>
      <c r="E3" s="74"/>
    </row>
    <row r="4" spans="2:8" ht="15" customHeight="1" thickBot="1" x14ac:dyDescent="0.35">
      <c r="B4" s="44" t="s">
        <v>3</v>
      </c>
      <c r="C4" s="68" t="s">
        <v>4</v>
      </c>
      <c r="D4" s="69"/>
      <c r="E4" s="69"/>
    </row>
    <row r="5" spans="2:8" ht="15" thickBot="1" x14ac:dyDescent="0.35">
      <c r="B5" s="43" t="s">
        <v>5</v>
      </c>
      <c r="C5" s="68"/>
      <c r="D5" s="69"/>
      <c r="E5" s="69"/>
    </row>
    <row r="6" spans="2:8" ht="15" thickBot="1" x14ac:dyDescent="0.35">
      <c r="B6" s="43" t="s">
        <v>6</v>
      </c>
      <c r="C6" s="45" t="s">
        <v>7</v>
      </c>
      <c r="D6" s="45"/>
      <c r="E6" s="45"/>
    </row>
    <row r="7" spans="2:8" ht="15" thickBot="1" x14ac:dyDescent="0.35">
      <c r="B7" s="43" t="s">
        <v>8</v>
      </c>
      <c r="C7" s="45" t="s">
        <v>9</v>
      </c>
      <c r="D7" s="45"/>
      <c r="E7" s="45"/>
    </row>
    <row r="8" spans="2:8" ht="15" thickBot="1" x14ac:dyDescent="0.35">
      <c r="B8" s="43" t="s">
        <v>10</v>
      </c>
      <c r="C8" s="46" t="s">
        <v>11</v>
      </c>
      <c r="D8" s="45"/>
      <c r="E8" s="45"/>
    </row>
    <row r="9" spans="2:8" ht="15" thickBot="1" x14ac:dyDescent="0.35">
      <c r="B9" s="43" t="s">
        <v>12</v>
      </c>
      <c r="C9" s="68" t="s">
        <v>13</v>
      </c>
      <c r="D9" s="69"/>
      <c r="E9" s="69"/>
    </row>
    <row r="10" spans="2:8" ht="15" thickBot="1" x14ac:dyDescent="0.35">
      <c r="B10" s="43" t="s">
        <v>14</v>
      </c>
      <c r="C10" s="68">
        <v>3</v>
      </c>
      <c r="D10" s="69"/>
      <c r="E10" s="69"/>
    </row>
    <row r="11" spans="2:8" ht="15" thickBot="1" x14ac:dyDescent="0.35"/>
    <row r="12" spans="2:8" ht="18.600000000000001" thickBot="1" x14ac:dyDescent="0.35">
      <c r="B12" s="70" t="s">
        <v>15</v>
      </c>
      <c r="C12" s="70"/>
      <c r="D12" s="70"/>
      <c r="E12" s="70"/>
    </row>
    <row r="13" spans="2:8" ht="36.6" thickBot="1" x14ac:dyDescent="0.35">
      <c r="B13" s="48" t="s">
        <v>16</v>
      </c>
      <c r="C13" s="49" t="s">
        <v>17</v>
      </c>
      <c r="D13" s="49" t="s">
        <v>18</v>
      </c>
      <c r="E13" s="49" t="s">
        <v>19</v>
      </c>
    </row>
    <row r="14" spans="2:8" ht="15" thickBot="1" x14ac:dyDescent="0.35">
      <c r="B14" s="43" t="s">
        <v>20</v>
      </c>
      <c r="C14" s="50" t="s">
        <v>21</v>
      </c>
      <c r="D14" s="51" t="s">
        <v>22</v>
      </c>
      <c r="E14" s="52" t="s">
        <v>23</v>
      </c>
      <c r="H14" s="53"/>
    </row>
    <row r="15" spans="2:8" ht="15" thickBot="1" x14ac:dyDescent="0.35">
      <c r="B15" s="43" t="s">
        <v>24</v>
      </c>
      <c r="C15" s="54" t="s">
        <v>25</v>
      </c>
      <c r="D15" s="51" t="s">
        <v>22</v>
      </c>
      <c r="E15" s="55" t="s">
        <v>26</v>
      </c>
      <c r="H15" s="53"/>
    </row>
    <row r="16" spans="2:8" ht="15" thickBot="1" x14ac:dyDescent="0.35">
      <c r="B16" s="43" t="s">
        <v>27</v>
      </c>
      <c r="C16" s="50" t="s">
        <v>21</v>
      </c>
      <c r="D16" s="51" t="s">
        <v>22</v>
      </c>
      <c r="E16" s="52" t="s">
        <v>23</v>
      </c>
    </row>
    <row r="17" spans="2:6" ht="15" thickBot="1" x14ac:dyDescent="0.35">
      <c r="B17" s="43" t="s">
        <v>28</v>
      </c>
      <c r="C17" s="50" t="s">
        <v>21</v>
      </c>
      <c r="D17" s="51" t="s">
        <v>22</v>
      </c>
      <c r="E17" s="52" t="s">
        <v>23</v>
      </c>
    </row>
    <row r="18" spans="2:6" ht="15" thickBot="1" x14ac:dyDescent="0.35">
      <c r="B18" s="43" t="s">
        <v>29</v>
      </c>
      <c r="C18" s="50" t="s">
        <v>21</v>
      </c>
      <c r="D18" s="51" t="s">
        <v>22</v>
      </c>
      <c r="E18" s="52" t="s">
        <v>23</v>
      </c>
    </row>
    <row r="19" spans="2:6" ht="15" thickBot="1" x14ac:dyDescent="0.35">
      <c r="B19" s="43" t="s">
        <v>30</v>
      </c>
      <c r="C19" s="55" t="s">
        <v>31</v>
      </c>
      <c r="D19" s="51"/>
      <c r="E19" s="55"/>
    </row>
    <row r="20" spans="2:6" ht="15" thickBot="1" x14ac:dyDescent="0.35"/>
    <row r="21" spans="2:6" ht="18.600000000000001" thickBot="1" x14ac:dyDescent="0.35">
      <c r="B21" s="70" t="s">
        <v>32</v>
      </c>
      <c r="C21" s="70"/>
      <c r="D21" s="70"/>
      <c r="E21" s="70"/>
      <c r="F21" s="48"/>
    </row>
    <row r="22" spans="2:6" ht="18.600000000000001" thickBot="1" x14ac:dyDescent="0.35">
      <c r="B22" s="48" t="s">
        <v>33</v>
      </c>
      <c r="C22" s="49" t="s">
        <v>34</v>
      </c>
      <c r="D22" s="71" t="s">
        <v>35</v>
      </c>
      <c r="E22" s="72"/>
      <c r="F22" s="48"/>
    </row>
    <row r="23" spans="2:6" s="59" customFormat="1" ht="15" thickBot="1" x14ac:dyDescent="0.35">
      <c r="B23" s="56">
        <v>43623</v>
      </c>
      <c r="C23" s="57" t="s">
        <v>36</v>
      </c>
      <c r="D23" s="66" t="s">
        <v>37</v>
      </c>
      <c r="E23" s="67"/>
      <c r="F23" s="67"/>
    </row>
    <row r="24" spans="2:6" s="59" customFormat="1" ht="30" customHeight="1" thickBot="1" x14ac:dyDescent="0.35">
      <c r="B24" s="56">
        <v>43672</v>
      </c>
      <c r="C24" s="57" t="s">
        <v>38</v>
      </c>
      <c r="D24" s="66" t="s">
        <v>39</v>
      </c>
      <c r="E24" s="67"/>
      <c r="F24" s="67"/>
    </row>
    <row r="25" spans="2:6" s="59" customFormat="1" ht="15" thickBot="1" x14ac:dyDescent="0.35">
      <c r="B25" s="56">
        <v>43676</v>
      </c>
      <c r="C25" s="57" t="s">
        <v>40</v>
      </c>
      <c r="D25" s="66" t="s">
        <v>41</v>
      </c>
      <c r="E25" s="67"/>
      <c r="F25" s="67"/>
    </row>
    <row r="26" spans="2:6" s="59" customFormat="1" ht="45.6" customHeight="1" thickBot="1" x14ac:dyDescent="0.35">
      <c r="B26" s="56">
        <v>43683</v>
      </c>
      <c r="C26" s="57" t="s">
        <v>42</v>
      </c>
      <c r="D26" s="66" t="s">
        <v>43</v>
      </c>
      <c r="E26" s="67"/>
      <c r="F26" s="67"/>
    </row>
    <row r="27" spans="2:6" s="59" customFormat="1" ht="15" thickBot="1" x14ac:dyDescent="0.35">
      <c r="B27" s="56">
        <v>43714</v>
      </c>
      <c r="C27" s="57" t="s">
        <v>44</v>
      </c>
      <c r="D27" s="66" t="s">
        <v>45</v>
      </c>
      <c r="E27" s="67"/>
      <c r="F27" s="67"/>
    </row>
    <row r="28" spans="2:6" s="59" customFormat="1" ht="15" thickBot="1" x14ac:dyDescent="0.35">
      <c r="B28" s="56">
        <v>43728</v>
      </c>
      <c r="C28" s="60" t="s">
        <v>46</v>
      </c>
      <c r="D28" s="66" t="s">
        <v>47</v>
      </c>
      <c r="E28" s="67"/>
      <c r="F28" s="67"/>
    </row>
    <row r="29" spans="2:6" s="59" customFormat="1" ht="15" thickBot="1" x14ac:dyDescent="0.35">
      <c r="B29" s="56">
        <v>43768</v>
      </c>
      <c r="C29" s="60" t="s">
        <v>48</v>
      </c>
      <c r="D29" s="66" t="s">
        <v>47</v>
      </c>
      <c r="E29" s="67"/>
      <c r="F29" s="67"/>
    </row>
    <row r="30" spans="2:6" s="59" customFormat="1" ht="15" thickBot="1" x14ac:dyDescent="0.35">
      <c r="B30" s="56">
        <v>43784</v>
      </c>
      <c r="C30" s="60">
        <v>2.0099999999999998</v>
      </c>
      <c r="D30" s="66" t="s">
        <v>49</v>
      </c>
      <c r="E30" s="67"/>
      <c r="F30" s="67"/>
    </row>
    <row r="31" spans="2:6" s="59" customFormat="1" ht="15" thickBot="1" x14ac:dyDescent="0.35">
      <c r="B31" s="56">
        <v>44064</v>
      </c>
      <c r="C31" s="60">
        <v>2.0099999999999998</v>
      </c>
      <c r="D31" s="58" t="s">
        <v>50</v>
      </c>
      <c r="E31" s="50"/>
      <c r="F31" s="50"/>
    </row>
    <row r="32" spans="2:6" s="59" customFormat="1" ht="15" thickBot="1" x14ac:dyDescent="0.35">
      <c r="B32" s="56">
        <v>44463</v>
      </c>
      <c r="C32" s="60">
        <v>2.0099999999999998</v>
      </c>
      <c r="D32" s="58" t="s">
        <v>50</v>
      </c>
      <c r="E32" s="50"/>
      <c r="F32" s="50"/>
    </row>
    <row r="33" spans="2:6" s="47" customFormat="1" ht="15" thickBot="1" x14ac:dyDescent="0.35">
      <c r="B33" s="61">
        <v>44830</v>
      </c>
      <c r="C33" s="51" t="s">
        <v>51</v>
      </c>
      <c r="D33" s="68" t="s">
        <v>52</v>
      </c>
      <c r="E33" s="69"/>
      <c r="F33" s="61"/>
    </row>
    <row r="34" spans="2:6" ht="15" thickBot="1" x14ac:dyDescent="0.35">
      <c r="B34" s="61">
        <v>45183</v>
      </c>
      <c r="C34" s="51" t="s">
        <v>51</v>
      </c>
      <c r="D34" s="68" t="s">
        <v>53</v>
      </c>
      <c r="E34" s="69"/>
    </row>
  </sheetData>
  <mergeCells count="19">
    <mergeCell ref="D29:F29"/>
    <mergeCell ref="D30:F30"/>
    <mergeCell ref="D33:E33"/>
    <mergeCell ref="D34:E34"/>
    <mergeCell ref="D25:F25"/>
    <mergeCell ref="D26:F26"/>
    <mergeCell ref="B2:E2"/>
    <mergeCell ref="C3:E3"/>
    <mergeCell ref="C4:E4"/>
    <mergeCell ref="C5:E5"/>
    <mergeCell ref="C9:E9"/>
    <mergeCell ref="D24:F24"/>
    <mergeCell ref="D27:F27"/>
    <mergeCell ref="D28:F28"/>
    <mergeCell ref="C10:E10"/>
    <mergeCell ref="B12:E12"/>
    <mergeCell ref="B21:E21"/>
    <mergeCell ref="D22:E22"/>
    <mergeCell ref="D23:F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498D-4A65-440D-8A2E-54A2A9AF247C}">
  <sheetPr codeName="Hoja2">
    <tabColor rgb="FF009681"/>
  </sheetPr>
  <dimension ref="B1:F5"/>
  <sheetViews>
    <sheetView workbookViewId="0">
      <selection activeCell="A2" sqref="A2"/>
    </sheetView>
  </sheetViews>
  <sheetFormatPr defaultColWidth="8.88671875" defaultRowHeight="14.4" x14ac:dyDescent="0.3"/>
  <cols>
    <col min="1" max="1" width="2.44140625" style="1" customWidth="1"/>
    <col min="2" max="2" width="20.5546875" style="1" bestFit="1" customWidth="1"/>
    <col min="3" max="3" width="63.33203125" style="1" customWidth="1"/>
    <col min="4" max="16384" width="8.88671875" style="1"/>
  </cols>
  <sheetData>
    <row r="1" spans="2:6" ht="15" thickBot="1" x14ac:dyDescent="0.35"/>
    <row r="2" spans="2:6" ht="18.600000000000001" thickBot="1" x14ac:dyDescent="0.35">
      <c r="B2" s="34" t="s">
        <v>54</v>
      </c>
      <c r="C2" s="30" t="s">
        <v>55</v>
      </c>
    </row>
    <row r="3" spans="2:6" ht="15" thickBot="1" x14ac:dyDescent="0.35">
      <c r="B3" s="20" t="s">
        <v>56</v>
      </c>
      <c r="C3" s="33"/>
      <c r="F3" s="32"/>
    </row>
    <row r="4" spans="2:6" ht="15" thickBot="1" x14ac:dyDescent="0.35">
      <c r="B4" s="20" t="s">
        <v>57</v>
      </c>
      <c r="C4" s="33" t="s">
        <v>58</v>
      </c>
      <c r="F4" s="32"/>
    </row>
    <row r="5" spans="2:6" ht="42.6" customHeight="1" thickBot="1" x14ac:dyDescent="0.35">
      <c r="B5" s="20" t="s">
        <v>59</v>
      </c>
      <c r="C5" s="3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CE51-9891-4FB6-BD38-26DBCE0733DA}">
  <sheetPr codeName="Hoja3">
    <tabColor rgb="FF009681"/>
    <pageSetUpPr fitToPage="1"/>
  </sheetPr>
  <dimension ref="A1:E25"/>
  <sheetViews>
    <sheetView workbookViewId="0">
      <selection activeCell="A21" sqref="A21"/>
    </sheetView>
  </sheetViews>
  <sheetFormatPr defaultColWidth="8.88671875" defaultRowHeight="14.4" x14ac:dyDescent="0.3"/>
  <cols>
    <col min="1" max="1" width="28.6640625" bestFit="1" customWidth="1"/>
    <col min="2" max="5" width="8.6640625" customWidth="1"/>
  </cols>
  <sheetData>
    <row r="1" spans="1:5" ht="28.8" x14ac:dyDescent="0.3">
      <c r="A1" s="28" t="s">
        <v>60</v>
      </c>
      <c r="B1" s="28" t="s">
        <v>61</v>
      </c>
      <c r="C1" s="28" t="s">
        <v>62</v>
      </c>
      <c r="D1" s="28" t="s">
        <v>63</v>
      </c>
      <c r="E1" s="28" t="s">
        <v>64</v>
      </c>
    </row>
    <row r="2" spans="1:5" ht="15" thickBot="1" x14ac:dyDescent="0.35">
      <c r="A2" s="29" t="s">
        <v>61</v>
      </c>
      <c r="B2" s="29">
        <f>SUM(B5:B25)</f>
        <v>2</v>
      </c>
      <c r="C2" s="29">
        <f t="shared" ref="C2:E2" si="0">SUM(C5:C25)</f>
        <v>0</v>
      </c>
      <c r="D2" s="29">
        <f t="shared" si="0"/>
        <v>0</v>
      </c>
      <c r="E2" s="29">
        <f t="shared" si="0"/>
        <v>2</v>
      </c>
    </row>
    <row r="4" spans="1:5" ht="30.6" customHeight="1" x14ac:dyDescent="0.3">
      <c r="A4" s="28" t="s">
        <v>65</v>
      </c>
      <c r="B4" s="28" t="s">
        <v>61</v>
      </c>
      <c r="C4" s="28" t="s">
        <v>62</v>
      </c>
      <c r="D4" s="28" t="s">
        <v>63</v>
      </c>
      <c r="E4" s="28" t="s">
        <v>64</v>
      </c>
    </row>
    <row r="5" spans="1:5" x14ac:dyDescent="0.3">
      <c r="A5" s="21" t="s">
        <v>66</v>
      </c>
      <c r="B5" s="21">
        <f>COUNTIFS('Test Suite'!D:D,'Execution Metrics'!A5)</f>
        <v>1</v>
      </c>
      <c r="C5" s="21">
        <f>COUNTIFS('Test Suite'!D:D,'Execution Metrics'!A5,'Test Suite'!R:R,"P")</f>
        <v>0</v>
      </c>
      <c r="D5" s="21">
        <f>COUNTIFS('Test Suite'!D:D,'Execution Metrics'!A5,'Test Suite'!R:R,"F")+COUNTIFS('Test Suite'!D:D,'Execution Metrics'!A5,'Test Suite'!R:R,"B")</f>
        <v>0</v>
      </c>
      <c r="E5" s="21">
        <f>COUNTIFS('Test Suite'!D:D,'Execution Metrics'!A5,'Test Suite'!R:R,"")</f>
        <v>1</v>
      </c>
    </row>
    <row r="6" spans="1:5" ht="15" thickBot="1" x14ac:dyDescent="0.35">
      <c r="A6" s="21" t="s">
        <v>67</v>
      </c>
      <c r="B6" s="21">
        <f>COUNTIFS('Test Suite'!D:D,'Execution Metrics'!A6)</f>
        <v>0</v>
      </c>
      <c r="C6" s="21">
        <f>COUNTIFS('Test Suite'!D:D,'Execution Metrics'!A6,'Test Suite'!R:R,"P")</f>
        <v>0</v>
      </c>
      <c r="D6" s="21">
        <f>COUNTIFS('Test Suite'!D:D,'Execution Metrics'!A6,'Test Suite'!R:R,"F")+COUNTIFS('Test Suite'!D:D,'Execution Metrics'!A6,'Test Suite'!R:R,"B")</f>
        <v>0</v>
      </c>
      <c r="E6" s="21">
        <f>COUNTIFS('Test Suite'!D:D,'Execution Metrics'!A6,'Test Suite'!R:R,"")</f>
        <v>0</v>
      </c>
    </row>
    <row r="7" spans="1:5" ht="28.8" x14ac:dyDescent="0.3">
      <c r="A7" s="21" t="s">
        <v>68</v>
      </c>
      <c r="B7" s="21">
        <f>COUNTIFS('Test Suite'!D:D,'Execution Metrics'!A7)</f>
        <v>0</v>
      </c>
      <c r="C7" s="21">
        <f>COUNTIFS('Test Suite'!D:D,'Execution Metrics'!A7,'Test Suite'!R:R,"P")</f>
        <v>0</v>
      </c>
      <c r="D7" s="21">
        <f>COUNTIFS('Test Suite'!D:D,'Execution Metrics'!A7,'Test Suite'!R:R,"F")+COUNTIFS('Test Suite'!D:D,'Execution Metrics'!A7,'Test Suite'!R:R,"B")</f>
        <v>0</v>
      </c>
      <c r="E7" s="21">
        <f>COUNTIFS('Test Suite'!D:D,'Execution Metrics'!A7,'Test Suite'!R:R,"")</f>
        <v>0</v>
      </c>
    </row>
    <row r="8" spans="1:5" x14ac:dyDescent="0.3">
      <c r="A8" s="21" t="s">
        <v>69</v>
      </c>
      <c r="B8" s="21">
        <f>COUNTIFS('Test Suite'!D:D,'Execution Metrics'!A8)</f>
        <v>1</v>
      </c>
      <c r="C8" s="21">
        <f>COUNTIFS('Test Suite'!D:D,'Execution Metrics'!A8,'Test Suite'!R:R,"P")</f>
        <v>0</v>
      </c>
      <c r="D8" s="21">
        <f>COUNTIFS('Test Suite'!D:D,'Execution Metrics'!A8,'Test Suite'!R:R,"F")+COUNTIFS('Test Suite'!D:D,'Execution Metrics'!A8,'Test Suite'!R:R,"B")</f>
        <v>0</v>
      </c>
      <c r="E8" s="21">
        <f>COUNTIFS('Test Suite'!D:D,'Execution Metrics'!A8,'Test Suite'!R:R,"")</f>
        <v>1</v>
      </c>
    </row>
    <row r="9" spans="1:5" ht="15" thickBot="1" x14ac:dyDescent="0.35">
      <c r="A9" s="21" t="s">
        <v>70</v>
      </c>
      <c r="B9" s="21">
        <f>COUNTIFS('Test Suite'!D:D,'Execution Metrics'!A9)</f>
        <v>0</v>
      </c>
      <c r="C9" s="21">
        <f>COUNTIFS('Test Suite'!D:D,'Execution Metrics'!A9,'Test Suite'!R:R,"P")</f>
        <v>0</v>
      </c>
      <c r="D9" s="21">
        <f>COUNTIFS('Test Suite'!D:D,'Execution Metrics'!A9,'Test Suite'!R:R,"F")+COUNTIFS('Test Suite'!D:D,'Execution Metrics'!A9,'Test Suite'!R:R,"B")</f>
        <v>0</v>
      </c>
      <c r="E9" s="21">
        <f>COUNTIFS('Test Suite'!D:D,'Execution Metrics'!A9,'Test Suite'!R:R,"")</f>
        <v>0</v>
      </c>
    </row>
    <row r="10" spans="1:5" ht="15" thickBot="1" x14ac:dyDescent="0.35">
      <c r="A10" s="21" t="s">
        <v>71</v>
      </c>
      <c r="B10" s="21">
        <f>COUNTIFS('Test Suite'!D:D,'Execution Metrics'!A10)</f>
        <v>0</v>
      </c>
      <c r="C10" s="21">
        <f>COUNTIFS('Test Suite'!D:D,'Execution Metrics'!A10,'Test Suite'!R:R,"P")</f>
        <v>0</v>
      </c>
      <c r="D10" s="21">
        <f>COUNTIFS('Test Suite'!D:D,'Execution Metrics'!A10,'Test Suite'!R:R,"F")+COUNTIFS('Test Suite'!D:D,'Execution Metrics'!A10,'Test Suite'!R:R,"B")</f>
        <v>0</v>
      </c>
      <c r="E10" s="21">
        <f>COUNTIFS('Test Suite'!D:D,'Execution Metrics'!A10,'Test Suite'!R:R,"")</f>
        <v>0</v>
      </c>
    </row>
    <row r="11" spans="1:5" ht="15" thickBot="1" x14ac:dyDescent="0.35">
      <c r="A11" s="21" t="s">
        <v>72</v>
      </c>
      <c r="B11" s="21">
        <f>COUNTIFS('Test Suite'!D:D,'Execution Metrics'!A11)</f>
        <v>0</v>
      </c>
      <c r="C11" s="21">
        <f>COUNTIFS('Test Suite'!D:D,'Execution Metrics'!A11,'Test Suite'!R:R,"P")</f>
        <v>0</v>
      </c>
      <c r="D11" s="21">
        <f>COUNTIFS('Test Suite'!D:D,'Execution Metrics'!A11,'Test Suite'!R:R,"F")+COUNTIFS('Test Suite'!D:D,'Execution Metrics'!A11,'Test Suite'!R:R,"B")</f>
        <v>0</v>
      </c>
      <c r="E11" s="21">
        <f>COUNTIFS('Test Suite'!D:D,'Execution Metrics'!A11,'Test Suite'!R:R,"")</f>
        <v>0</v>
      </c>
    </row>
    <row r="12" spans="1:5" ht="15" thickBot="1" x14ac:dyDescent="0.35">
      <c r="A12" s="21" t="s">
        <v>73</v>
      </c>
      <c r="B12" s="21">
        <f>COUNTIFS('Test Suite'!D:D,'Execution Metrics'!A12)</f>
        <v>0</v>
      </c>
      <c r="C12" s="21">
        <f>COUNTIFS('Test Suite'!D:D,'Execution Metrics'!A12,'Test Suite'!R:R,"P")</f>
        <v>0</v>
      </c>
      <c r="D12" s="21">
        <f>COUNTIFS('Test Suite'!D:D,'Execution Metrics'!A12,'Test Suite'!R:R,"F")+COUNTIFS('Test Suite'!D:D,'Execution Metrics'!A12,'Test Suite'!R:R,"B")</f>
        <v>0</v>
      </c>
      <c r="E12" s="21">
        <f>COUNTIFS('Test Suite'!D:D,'Execution Metrics'!A12,'Test Suite'!R:R,"")</f>
        <v>0</v>
      </c>
    </row>
    <row r="13" spans="1:5" ht="15" thickBot="1" x14ac:dyDescent="0.35">
      <c r="A13" s="21" t="s">
        <v>74</v>
      </c>
      <c r="B13" s="21">
        <f>COUNTIFS('Test Suite'!D:D,'Execution Metrics'!A13)</f>
        <v>0</v>
      </c>
      <c r="C13" s="21">
        <f>COUNTIFS('Test Suite'!D:D,'Execution Metrics'!A13,'Test Suite'!R:R,"P")</f>
        <v>0</v>
      </c>
      <c r="D13" s="21">
        <f>COUNTIFS('Test Suite'!D:D,'Execution Metrics'!A13,'Test Suite'!R:R,"F")+COUNTIFS('Test Suite'!D:D,'Execution Metrics'!A13,'Test Suite'!R:R,"B")</f>
        <v>0</v>
      </c>
      <c r="E13" s="21">
        <f>COUNTIFS('Test Suite'!D:D,'Execution Metrics'!A13,'Test Suite'!R:R,"")</f>
        <v>0</v>
      </c>
    </row>
    <row r="14" spans="1:5" ht="15" thickBot="1" x14ac:dyDescent="0.35">
      <c r="A14" s="21" t="s">
        <v>75</v>
      </c>
      <c r="B14" s="21">
        <f>COUNTIFS('Test Suite'!D:D,'Execution Metrics'!A14)</f>
        <v>0</v>
      </c>
      <c r="C14" s="21">
        <f>COUNTIFS('Test Suite'!D:D,'Execution Metrics'!A14,'Test Suite'!R:R,"P")</f>
        <v>0</v>
      </c>
      <c r="D14" s="21">
        <f>COUNTIFS('Test Suite'!D:D,'Execution Metrics'!A14,'Test Suite'!R:R,"F")+COUNTIFS('Test Suite'!D:D,'Execution Metrics'!A14,'Test Suite'!R:R,"B")</f>
        <v>0</v>
      </c>
      <c r="E14" s="21">
        <f>COUNTIFS('Test Suite'!D:D,'Execution Metrics'!A14,'Test Suite'!R:R,"")</f>
        <v>0</v>
      </c>
    </row>
    <row r="15" spans="1:5" ht="29.4" thickBot="1" x14ac:dyDescent="0.35">
      <c r="A15" s="21" t="s">
        <v>76</v>
      </c>
      <c r="B15" s="21">
        <f>COUNTIFS('Test Suite'!D:D,'Execution Metrics'!A15)</f>
        <v>0</v>
      </c>
      <c r="C15" s="21">
        <f>COUNTIFS('Test Suite'!D:D,'Execution Metrics'!A15,'Test Suite'!R:R,"P")</f>
        <v>0</v>
      </c>
      <c r="D15" s="21">
        <f>COUNTIFS('Test Suite'!D:D,'Execution Metrics'!A15,'Test Suite'!R:R,"F")+COUNTIFS('Test Suite'!D:D,'Execution Metrics'!A15,'Test Suite'!R:R,"B")</f>
        <v>0</v>
      </c>
      <c r="E15" s="21">
        <f>COUNTIFS('Test Suite'!D:D,'Execution Metrics'!A15,'Test Suite'!R:R,"")</f>
        <v>0</v>
      </c>
    </row>
    <row r="16" spans="1:5" ht="15" thickBot="1" x14ac:dyDescent="0.35">
      <c r="A16" s="21" t="s">
        <v>77</v>
      </c>
      <c r="B16" s="21">
        <f>COUNTIFS('Test Suite'!D:D,'Execution Metrics'!A16)</f>
        <v>0</v>
      </c>
      <c r="C16" s="21">
        <f>COUNTIFS('Test Suite'!D:D,'Execution Metrics'!A16,'Test Suite'!R:R,"P")</f>
        <v>0</v>
      </c>
      <c r="D16" s="21">
        <f>COUNTIFS('Test Suite'!D:D,'Execution Metrics'!A16,'Test Suite'!R:R,"F")+COUNTIFS('Test Suite'!D:D,'Execution Metrics'!A16,'Test Suite'!R:R,"B")</f>
        <v>0</v>
      </c>
      <c r="E16" s="21">
        <f>COUNTIFS('Test Suite'!D:D,'Execution Metrics'!A16,'Test Suite'!R:R,"")</f>
        <v>0</v>
      </c>
    </row>
    <row r="17" spans="1:5" ht="15" thickBot="1" x14ac:dyDescent="0.35">
      <c r="A17" s="21" t="s">
        <v>78</v>
      </c>
      <c r="B17" s="21">
        <f>COUNTIFS('Test Suite'!D:D,'Execution Metrics'!A17)</f>
        <v>0</v>
      </c>
      <c r="C17" s="21">
        <f>COUNTIFS('Test Suite'!D:D,'Execution Metrics'!A17,'Test Suite'!R:R,"P")</f>
        <v>0</v>
      </c>
      <c r="D17" s="21">
        <f>COUNTIFS('Test Suite'!D:D,'Execution Metrics'!A17,'Test Suite'!R:R,"F")+COUNTIFS('Test Suite'!D:D,'Execution Metrics'!A17,'Test Suite'!R:R,"B")</f>
        <v>0</v>
      </c>
      <c r="E17" s="21">
        <f>COUNTIFS('Test Suite'!D:D,'Execution Metrics'!A17,'Test Suite'!R:R,"")</f>
        <v>0</v>
      </c>
    </row>
    <row r="18" spans="1:5" ht="15" thickBot="1" x14ac:dyDescent="0.35">
      <c r="A18" s="21" t="s">
        <v>79</v>
      </c>
      <c r="B18" s="21">
        <f>COUNTIFS('Test Suite'!D:D,'Execution Metrics'!A18)</f>
        <v>0</v>
      </c>
      <c r="C18" s="21">
        <f>COUNTIFS('Test Suite'!D:D,'Execution Metrics'!A18,'Test Suite'!R:R,"P")</f>
        <v>0</v>
      </c>
      <c r="D18" s="21">
        <f>COUNTIFS('Test Suite'!D:D,'Execution Metrics'!A18,'Test Suite'!R:R,"F")+COUNTIFS('Test Suite'!D:D,'Execution Metrics'!A18,'Test Suite'!R:R,"B")</f>
        <v>0</v>
      </c>
      <c r="E18" s="21">
        <f>COUNTIFS('Test Suite'!D:D,'Execution Metrics'!A18,'Test Suite'!R:R,"")</f>
        <v>0</v>
      </c>
    </row>
    <row r="19" spans="1:5" ht="15" thickBot="1" x14ac:dyDescent="0.35">
      <c r="A19" s="21" t="s">
        <v>80</v>
      </c>
      <c r="B19" s="21">
        <f>COUNTIFS('Test Suite'!D:D,'Execution Metrics'!A19)</f>
        <v>0</v>
      </c>
      <c r="C19" s="21">
        <f>COUNTIFS('Test Suite'!D:D,'Execution Metrics'!A19,'Test Suite'!R:R,"P")</f>
        <v>0</v>
      </c>
      <c r="D19" s="21">
        <f>COUNTIFS('Test Suite'!D:D,'Execution Metrics'!A19,'Test Suite'!R:R,"F")+COUNTIFS('Test Suite'!D:D,'Execution Metrics'!A19,'Test Suite'!R:R,"B")</f>
        <v>0</v>
      </c>
      <c r="E19" s="21">
        <f>COUNTIFS('Test Suite'!D:D,'Execution Metrics'!A19,'Test Suite'!R:R,"")</f>
        <v>0</v>
      </c>
    </row>
    <row r="20" spans="1:5" ht="15" thickBot="1" x14ac:dyDescent="0.35">
      <c r="A20" s="21" t="s">
        <v>81</v>
      </c>
      <c r="B20" s="21">
        <f>COUNTIFS('Test Suite'!D:D,'Execution Metrics'!A20)</f>
        <v>0</v>
      </c>
      <c r="C20" s="21">
        <f>COUNTIFS('Test Suite'!D:D,'Execution Metrics'!A20,'Test Suite'!R:R,"P")</f>
        <v>0</v>
      </c>
      <c r="D20" s="21">
        <f>COUNTIFS('Test Suite'!D:D,'Execution Metrics'!A20,'Test Suite'!R:R,"F")+COUNTIFS('Test Suite'!D:D,'Execution Metrics'!A20,'Test Suite'!R:R,"B")</f>
        <v>0</v>
      </c>
      <c r="E20" s="21">
        <f>COUNTIFS('Test Suite'!D:D,'Execution Metrics'!A20,'Test Suite'!R:R,"")</f>
        <v>0</v>
      </c>
    </row>
    <row r="21" spans="1:5" ht="15" thickBot="1" x14ac:dyDescent="0.35">
      <c r="A21" s="21" t="s">
        <v>82</v>
      </c>
      <c r="B21" s="21">
        <f>COUNTIFS('Test Suite'!D:D,'Execution Metrics'!A21)</f>
        <v>0</v>
      </c>
      <c r="C21" s="21">
        <f>COUNTIFS('Test Suite'!D:D,'Execution Metrics'!A21,'Test Suite'!R:R,"P")</f>
        <v>0</v>
      </c>
      <c r="D21" s="21">
        <f>COUNTIFS('Test Suite'!D:D,'Execution Metrics'!A21,'Test Suite'!R:R,"F")+COUNTIFS('Test Suite'!D:D,'Execution Metrics'!A21,'Test Suite'!R:R,"B")</f>
        <v>0</v>
      </c>
      <c r="E21" s="21">
        <f>COUNTIFS('Test Suite'!D:D,'Execution Metrics'!A21,'Test Suite'!R:R,"")</f>
        <v>0</v>
      </c>
    </row>
    <row r="22" spans="1:5" ht="15" thickBot="1" x14ac:dyDescent="0.35">
      <c r="A22" s="21" t="s">
        <v>83</v>
      </c>
      <c r="B22" s="21">
        <f>COUNTIFS('Test Suite'!D:D,'Execution Metrics'!A22)</f>
        <v>0</v>
      </c>
      <c r="C22" s="21">
        <f>COUNTIFS('Test Suite'!D:D,'Execution Metrics'!A22,'Test Suite'!R:R,"P")</f>
        <v>0</v>
      </c>
      <c r="D22" s="21">
        <f>COUNTIFS('Test Suite'!D:D,'Execution Metrics'!A22,'Test Suite'!R:R,"F")+COUNTIFS('Test Suite'!D:D,'Execution Metrics'!A22,'Test Suite'!R:R,"B")</f>
        <v>0</v>
      </c>
      <c r="E22" s="21">
        <f>COUNTIFS('Test Suite'!D:D,'Execution Metrics'!A22,'Test Suite'!R:R,"")</f>
        <v>0</v>
      </c>
    </row>
    <row r="23" spans="1:5" ht="15" thickBot="1" x14ac:dyDescent="0.35">
      <c r="A23" s="21" t="s">
        <v>84</v>
      </c>
      <c r="B23" s="21">
        <f>COUNTIFS('Test Suite'!D:D,'Execution Metrics'!A23)</f>
        <v>0</v>
      </c>
      <c r="C23" s="21">
        <f>COUNTIFS('Test Suite'!D:D,'Execution Metrics'!A23,'Test Suite'!R:R,"P")</f>
        <v>0</v>
      </c>
      <c r="D23" s="21">
        <f>COUNTIFS('Test Suite'!D:D,'Execution Metrics'!A23,'Test Suite'!R:R,"F")+COUNTIFS('Test Suite'!D:D,'Execution Metrics'!A23,'Test Suite'!R:R,"B")</f>
        <v>0</v>
      </c>
      <c r="E23" s="21">
        <f>COUNTIFS('Test Suite'!D:D,'Execution Metrics'!A23,'Test Suite'!R:R,"")</f>
        <v>0</v>
      </c>
    </row>
    <row r="24" spans="1:5" ht="15" thickBot="1" x14ac:dyDescent="0.35">
      <c r="A24" s="21" t="s">
        <v>85</v>
      </c>
      <c r="B24" s="21">
        <f>COUNTIFS('Test Suite'!D:D,'Execution Metrics'!A24)</f>
        <v>0</v>
      </c>
      <c r="C24" s="21">
        <f>COUNTIFS('Test Suite'!D:D,'Execution Metrics'!A24,'Test Suite'!R:R,"P")</f>
        <v>0</v>
      </c>
      <c r="D24" s="21">
        <f>COUNTIFS('Test Suite'!D:D,'Execution Metrics'!A24,'Test Suite'!R:R,"F")+COUNTIFS('Test Suite'!D:D,'Execution Metrics'!A24,'Test Suite'!R:R,"B")</f>
        <v>0</v>
      </c>
      <c r="E24" s="21">
        <f>COUNTIFS('Test Suite'!D:D,'Execution Metrics'!A24,'Test Suite'!R:R,"")</f>
        <v>0</v>
      </c>
    </row>
    <row r="25" spans="1:5" ht="15" thickBot="1" x14ac:dyDescent="0.35">
      <c r="A25" s="21" t="s">
        <v>86</v>
      </c>
      <c r="B25" s="21">
        <f>COUNTIFS('Test Suite'!D:D,'Execution Metrics'!A25)</f>
        <v>0</v>
      </c>
      <c r="C25" s="21">
        <f>COUNTIFS('Test Suite'!D:D,'Execution Metrics'!A25,'Test Suite'!R:R,"P")</f>
        <v>0</v>
      </c>
      <c r="D25" s="21">
        <f>COUNTIFS('Test Suite'!D:D,'Execution Metrics'!A25,'Test Suite'!R:R,"F")+COUNTIFS('Test Suite'!D:D,'Execution Metrics'!A25,'Test Suite'!R:R,"B")</f>
        <v>0</v>
      </c>
      <c r="E25" s="21">
        <f>COUNTIFS('Test Suite'!D:D,'Execution Metrics'!A25,'Test Suite'!R:R,"")</f>
        <v>0</v>
      </c>
    </row>
  </sheetData>
  <pageMargins left="0.7" right="0.7" top="0.75" bottom="0.75" header="0.3" footer="0.3"/>
  <pageSetup scale="71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D57B-0D62-4668-BBFC-15525A109001}">
  <sheetPr codeName="Hoja4">
    <tabColor rgb="FF009681"/>
    <pageSetUpPr fitToPage="1"/>
  </sheetPr>
  <dimension ref="A1:D18"/>
  <sheetViews>
    <sheetView workbookViewId="0">
      <selection activeCell="A2" sqref="A2"/>
    </sheetView>
  </sheetViews>
  <sheetFormatPr defaultColWidth="8.88671875" defaultRowHeight="14.4" x14ac:dyDescent="0.3"/>
  <cols>
    <col min="1" max="1" width="35.44140625" customWidth="1"/>
    <col min="2" max="4" width="8.6640625" customWidth="1"/>
  </cols>
  <sheetData>
    <row r="1" spans="1:4" ht="30" customHeight="1" x14ac:dyDescent="0.3">
      <c r="A1" s="28" t="s">
        <v>87</v>
      </c>
      <c r="B1" s="28" t="s">
        <v>61</v>
      </c>
      <c r="C1" s="28" t="s">
        <v>88</v>
      </c>
      <c r="D1" s="28" t="s">
        <v>89</v>
      </c>
    </row>
    <row r="2" spans="1:4" ht="15" thickBot="1" x14ac:dyDescent="0.35">
      <c r="A2" s="29" t="s">
        <v>61</v>
      </c>
      <c r="B2" s="29">
        <f>SUM(B5:B18)</f>
        <v>21</v>
      </c>
      <c r="C2" s="29">
        <f>SUM(C5:C18)</f>
        <v>10</v>
      </c>
      <c r="D2" s="29">
        <f>SUM(D5:D18)</f>
        <v>11</v>
      </c>
    </row>
    <row r="4" spans="1:4" ht="28.8" x14ac:dyDescent="0.3">
      <c r="A4" s="28" t="s">
        <v>90</v>
      </c>
      <c r="B4" s="28" t="s">
        <v>61</v>
      </c>
      <c r="C4" s="28" t="s">
        <v>88</v>
      </c>
      <c r="D4" s="28" t="s">
        <v>89</v>
      </c>
    </row>
    <row r="5" spans="1:4" ht="15" thickBot="1" x14ac:dyDescent="0.35">
      <c r="A5" s="21" t="s">
        <v>91</v>
      </c>
      <c r="B5" s="21">
        <v>2</v>
      </c>
      <c r="C5" s="21">
        <v>0</v>
      </c>
      <c r="D5" s="21">
        <v>2</v>
      </c>
    </row>
    <row r="6" spans="1:4" ht="15" thickBot="1" x14ac:dyDescent="0.35">
      <c r="A6" s="21" t="s">
        <v>92</v>
      </c>
      <c r="B6" s="21">
        <v>7</v>
      </c>
      <c r="C6" s="21">
        <v>3</v>
      </c>
      <c r="D6" s="21">
        <v>4</v>
      </c>
    </row>
    <row r="7" spans="1:4" ht="15" thickBot="1" x14ac:dyDescent="0.35">
      <c r="A7" s="21" t="s">
        <v>93</v>
      </c>
      <c r="B7" s="21">
        <v>3</v>
      </c>
      <c r="C7" s="21">
        <v>1</v>
      </c>
      <c r="D7" s="21">
        <v>2</v>
      </c>
    </row>
    <row r="8" spans="1:4" ht="15" thickBot="1" x14ac:dyDescent="0.35">
      <c r="A8" s="21" t="s">
        <v>94</v>
      </c>
      <c r="B8" s="21">
        <v>2</v>
      </c>
      <c r="C8" s="21">
        <v>1</v>
      </c>
      <c r="D8" s="21">
        <v>1</v>
      </c>
    </row>
    <row r="9" spans="1:4" ht="15" thickBot="1" x14ac:dyDescent="0.35">
      <c r="A9" s="21" t="s">
        <v>95</v>
      </c>
      <c r="B9" s="21">
        <v>0</v>
      </c>
      <c r="C9" s="21">
        <v>0</v>
      </c>
      <c r="D9" s="21">
        <v>0</v>
      </c>
    </row>
    <row r="10" spans="1:4" ht="15" thickBot="1" x14ac:dyDescent="0.35">
      <c r="A10" s="21" t="s">
        <v>96</v>
      </c>
      <c r="B10" s="21">
        <v>3</v>
      </c>
      <c r="C10" s="21">
        <v>3</v>
      </c>
      <c r="D10" s="21">
        <v>0</v>
      </c>
    </row>
    <row r="11" spans="1:4" ht="15" thickBot="1" x14ac:dyDescent="0.35">
      <c r="A11" s="21" t="s">
        <v>97</v>
      </c>
      <c r="B11" s="21">
        <v>4</v>
      </c>
      <c r="C11" s="21">
        <v>2</v>
      </c>
      <c r="D11" s="21">
        <v>2</v>
      </c>
    </row>
    <row r="12" spans="1:4" ht="15" thickBot="1" x14ac:dyDescent="0.35">
      <c r="A12" s="21" t="s">
        <v>98</v>
      </c>
      <c r="B12" s="21">
        <v>0</v>
      </c>
      <c r="C12" s="21">
        <v>0</v>
      </c>
      <c r="D12" s="21">
        <v>0</v>
      </c>
    </row>
    <row r="13" spans="1:4" ht="15" thickBot="1" x14ac:dyDescent="0.35">
      <c r="A13" s="21" t="s">
        <v>99</v>
      </c>
      <c r="B13" s="21">
        <v>0</v>
      </c>
      <c r="C13" s="21">
        <v>0</v>
      </c>
      <c r="D13" s="21">
        <v>0</v>
      </c>
    </row>
    <row r="14" spans="1:4" ht="15" thickBot="1" x14ac:dyDescent="0.35">
      <c r="A14" s="21" t="s">
        <v>100</v>
      </c>
      <c r="B14" s="21">
        <v>0</v>
      </c>
      <c r="C14" s="21">
        <v>0</v>
      </c>
      <c r="D14" s="21">
        <v>0</v>
      </c>
    </row>
    <row r="15" spans="1:4" ht="15" thickBot="1" x14ac:dyDescent="0.35">
      <c r="A15" s="21" t="s">
        <v>101</v>
      </c>
      <c r="B15" s="21">
        <v>0</v>
      </c>
      <c r="C15" s="21">
        <v>0</v>
      </c>
      <c r="D15" s="21">
        <v>0</v>
      </c>
    </row>
    <row r="16" spans="1:4" ht="15" thickBot="1" x14ac:dyDescent="0.35">
      <c r="A16" s="21" t="s">
        <v>102</v>
      </c>
      <c r="B16" s="21">
        <v>0</v>
      </c>
      <c r="C16" s="21">
        <v>0</v>
      </c>
      <c r="D16" s="21">
        <v>0</v>
      </c>
    </row>
    <row r="17" spans="1:4" ht="15" thickBot="1" x14ac:dyDescent="0.35">
      <c r="A17" s="21" t="s">
        <v>103</v>
      </c>
      <c r="B17" s="21">
        <v>0</v>
      </c>
      <c r="C17" s="21">
        <v>0</v>
      </c>
      <c r="D17" s="21">
        <v>0</v>
      </c>
    </row>
    <row r="18" spans="1:4" ht="15" thickBot="1" x14ac:dyDescent="0.35">
      <c r="A18" s="21" t="s">
        <v>104</v>
      </c>
      <c r="B18" s="21">
        <v>0</v>
      </c>
      <c r="C18" s="21">
        <v>0</v>
      </c>
      <c r="D18" s="21">
        <v>0</v>
      </c>
    </row>
  </sheetData>
  <pageMargins left="0.7" right="0.7" top="0.75" bottom="0.75" header="0.3" footer="0.3"/>
  <pageSetup scale="72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040D-D718-40B1-8881-5BFFF686921C}">
  <sheetPr codeName="Hoja5">
    <tabColor rgb="FF009681"/>
    <pageSetUpPr fitToPage="1"/>
  </sheetPr>
  <dimension ref="A1:E18"/>
  <sheetViews>
    <sheetView workbookViewId="0">
      <selection activeCell="A2" sqref="A2"/>
    </sheetView>
  </sheetViews>
  <sheetFormatPr defaultColWidth="8.88671875" defaultRowHeight="14.4" x14ac:dyDescent="0.3"/>
  <cols>
    <col min="1" max="1" width="28.6640625" bestFit="1" customWidth="1"/>
    <col min="2" max="5" width="8.6640625" customWidth="1"/>
  </cols>
  <sheetData>
    <row r="1" spans="1:5" ht="28.8" x14ac:dyDescent="0.3">
      <c r="A1" s="28" t="s">
        <v>105</v>
      </c>
      <c r="B1" s="28" t="s">
        <v>61</v>
      </c>
      <c r="C1" s="28" t="s">
        <v>106</v>
      </c>
      <c r="D1" s="28" t="s">
        <v>107</v>
      </c>
      <c r="E1" s="28" t="s">
        <v>108</v>
      </c>
    </row>
    <row r="2" spans="1:5" ht="15" thickBot="1" x14ac:dyDescent="0.35">
      <c r="A2" s="29" t="s">
        <v>61</v>
      </c>
      <c r="B2" s="29">
        <f>SUM(B5:B18)</f>
        <v>21</v>
      </c>
      <c r="C2" s="29">
        <f t="shared" ref="C2:E2" si="0">SUM(C5:C18)</f>
        <v>1</v>
      </c>
      <c r="D2" s="29">
        <f t="shared" si="0"/>
        <v>18</v>
      </c>
      <c r="E2" s="29">
        <f t="shared" si="0"/>
        <v>2</v>
      </c>
    </row>
    <row r="4" spans="1:5" ht="28.8" x14ac:dyDescent="0.3">
      <c r="A4" s="28" t="s">
        <v>109</v>
      </c>
      <c r="B4" s="28" t="s">
        <v>61</v>
      </c>
      <c r="C4" s="28" t="s">
        <v>106</v>
      </c>
      <c r="D4" s="28" t="s">
        <v>107</v>
      </c>
      <c r="E4" s="28" t="s">
        <v>108</v>
      </c>
    </row>
    <row r="5" spans="1:5" ht="15" thickBot="1" x14ac:dyDescent="0.35">
      <c r="A5" s="21" t="s">
        <v>91</v>
      </c>
      <c r="B5" s="21">
        <v>2</v>
      </c>
      <c r="C5" s="21">
        <v>0</v>
      </c>
      <c r="D5" s="21">
        <v>2</v>
      </c>
      <c r="E5" s="21">
        <v>0</v>
      </c>
    </row>
    <row r="6" spans="1:5" ht="15" thickBot="1" x14ac:dyDescent="0.35">
      <c r="A6" s="21" t="s">
        <v>92</v>
      </c>
      <c r="B6" s="21">
        <v>7</v>
      </c>
      <c r="C6" s="21">
        <v>0</v>
      </c>
      <c r="D6" s="21">
        <v>5</v>
      </c>
      <c r="E6" s="21">
        <v>2</v>
      </c>
    </row>
    <row r="7" spans="1:5" ht="15" thickBot="1" x14ac:dyDescent="0.35">
      <c r="A7" s="21" t="s">
        <v>93</v>
      </c>
      <c r="B7" s="21">
        <v>3</v>
      </c>
      <c r="C7" s="21">
        <v>1</v>
      </c>
      <c r="D7" s="21">
        <v>2</v>
      </c>
      <c r="E7" s="21">
        <v>0</v>
      </c>
    </row>
    <row r="8" spans="1:5" ht="15" thickBot="1" x14ac:dyDescent="0.35">
      <c r="A8" s="21" t="s">
        <v>94</v>
      </c>
      <c r="B8" s="21">
        <v>2</v>
      </c>
      <c r="C8" s="21">
        <v>0</v>
      </c>
      <c r="D8" s="21">
        <v>2</v>
      </c>
      <c r="E8" s="21">
        <v>0</v>
      </c>
    </row>
    <row r="9" spans="1:5" ht="15" thickBot="1" x14ac:dyDescent="0.35">
      <c r="A9" s="21" t="s">
        <v>95</v>
      </c>
      <c r="B9" s="21">
        <v>0</v>
      </c>
      <c r="C9" s="21">
        <v>0</v>
      </c>
      <c r="D9" s="21">
        <v>0</v>
      </c>
      <c r="E9" s="21">
        <v>0</v>
      </c>
    </row>
    <row r="10" spans="1:5" ht="15" thickBot="1" x14ac:dyDescent="0.35">
      <c r="A10" s="21" t="s">
        <v>96</v>
      </c>
      <c r="B10" s="21">
        <v>3</v>
      </c>
      <c r="C10" s="21">
        <v>0</v>
      </c>
      <c r="D10" s="21">
        <v>3</v>
      </c>
      <c r="E10" s="21">
        <v>0</v>
      </c>
    </row>
    <row r="11" spans="1:5" ht="15" thickBot="1" x14ac:dyDescent="0.35">
      <c r="A11" s="21" t="s">
        <v>97</v>
      </c>
      <c r="B11" s="21">
        <v>4</v>
      </c>
      <c r="C11" s="21">
        <v>0</v>
      </c>
      <c r="D11" s="21">
        <v>4</v>
      </c>
      <c r="E11" s="21">
        <v>0</v>
      </c>
    </row>
    <row r="12" spans="1:5" ht="15" thickBot="1" x14ac:dyDescent="0.35">
      <c r="A12" s="21" t="s">
        <v>98</v>
      </c>
      <c r="B12" s="21">
        <v>0</v>
      </c>
      <c r="C12" s="21">
        <v>0</v>
      </c>
      <c r="D12" s="21">
        <v>0</v>
      </c>
      <c r="E12" s="21">
        <v>0</v>
      </c>
    </row>
    <row r="13" spans="1:5" ht="15" thickBot="1" x14ac:dyDescent="0.35">
      <c r="A13" s="21" t="s">
        <v>99</v>
      </c>
      <c r="B13" s="21">
        <v>0</v>
      </c>
      <c r="C13" s="21">
        <v>0</v>
      </c>
      <c r="D13" s="21">
        <v>0</v>
      </c>
      <c r="E13" s="21">
        <v>0</v>
      </c>
    </row>
    <row r="14" spans="1:5" ht="15" thickBot="1" x14ac:dyDescent="0.35">
      <c r="A14" s="21" t="s">
        <v>100</v>
      </c>
      <c r="B14" s="21">
        <v>0</v>
      </c>
      <c r="C14" s="21">
        <v>0</v>
      </c>
      <c r="D14" s="21">
        <v>0</v>
      </c>
      <c r="E14" s="21">
        <v>0</v>
      </c>
    </row>
    <row r="15" spans="1:5" ht="15" thickBot="1" x14ac:dyDescent="0.35">
      <c r="A15" s="21" t="s">
        <v>101</v>
      </c>
      <c r="B15" s="21">
        <v>0</v>
      </c>
      <c r="C15" s="21">
        <v>0</v>
      </c>
      <c r="D15" s="21">
        <v>0</v>
      </c>
      <c r="E15" s="21">
        <v>0</v>
      </c>
    </row>
    <row r="16" spans="1:5" ht="15" thickBot="1" x14ac:dyDescent="0.35">
      <c r="A16" s="21" t="s">
        <v>102</v>
      </c>
      <c r="B16" s="21">
        <v>0</v>
      </c>
      <c r="C16" s="21">
        <v>0</v>
      </c>
      <c r="D16" s="21">
        <v>0</v>
      </c>
      <c r="E16" s="21">
        <v>0</v>
      </c>
    </row>
    <row r="17" spans="1:5" ht="15" thickBot="1" x14ac:dyDescent="0.35">
      <c r="A17" s="21" t="s">
        <v>103</v>
      </c>
      <c r="B17" s="21">
        <v>0</v>
      </c>
      <c r="C17" s="21">
        <v>0</v>
      </c>
      <c r="D17" s="21">
        <v>0</v>
      </c>
      <c r="E17" s="21">
        <v>0</v>
      </c>
    </row>
    <row r="18" spans="1:5" ht="15" thickBot="1" x14ac:dyDescent="0.35">
      <c r="A18" s="21" t="s">
        <v>104</v>
      </c>
      <c r="B18" s="21">
        <v>0</v>
      </c>
      <c r="C18" s="21">
        <v>0</v>
      </c>
      <c r="D18" s="21">
        <v>0</v>
      </c>
      <c r="E18" s="21">
        <v>0</v>
      </c>
    </row>
  </sheetData>
  <pageMargins left="0.7" right="0.7" top="0.75" bottom="0.75" header="0.3" footer="0.3"/>
  <pageSetup scale="7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>
    <tabColor rgb="FF009681"/>
    <pageSetUpPr fitToPage="1"/>
  </sheetPr>
  <dimension ref="A1:AE64"/>
  <sheetViews>
    <sheetView zoomScale="58" zoomScaleNormal="70" workbookViewId="0">
      <pane xSplit="7" ySplit="2" topLeftCell="H11" activePane="bottomRight" state="frozen"/>
      <selection pane="topRight" activeCell="A2" sqref="A2"/>
      <selection pane="bottomLeft" activeCell="A2" sqref="A2"/>
      <selection pane="bottomRight" activeCell="F21" sqref="F21"/>
    </sheetView>
  </sheetViews>
  <sheetFormatPr defaultColWidth="8.88671875" defaultRowHeight="14.4" x14ac:dyDescent="0.3"/>
  <cols>
    <col min="1" max="2" width="4.5546875" style="4" customWidth="1"/>
    <col min="3" max="3" width="7.6640625" style="1" bestFit="1" customWidth="1"/>
    <col min="4" max="4" width="21.33203125" style="1" customWidth="1"/>
    <col min="5" max="5" width="25.6640625" style="1" customWidth="1"/>
    <col min="6" max="6" width="23.44140625" style="1" bestFit="1" customWidth="1"/>
    <col min="7" max="7" width="14.6640625" style="1" customWidth="1"/>
    <col min="8" max="8" width="14.5546875" style="1" customWidth="1"/>
    <col min="9" max="9" width="15.77734375" style="5" customWidth="1"/>
    <col min="10" max="10" width="9.88671875" style="5" bestFit="1" customWidth="1"/>
    <col min="11" max="11" width="61.6640625" style="1" customWidth="1"/>
    <col min="12" max="12" width="60.6640625" style="1" customWidth="1"/>
    <col min="13" max="13" width="25.33203125" style="1" customWidth="1"/>
    <col min="14" max="14" width="43.5546875" style="1" customWidth="1"/>
    <col min="15" max="15" width="14.6640625" style="27" customWidth="1"/>
    <col min="16" max="16" width="13.33203125" style="18" customWidth="1"/>
    <col min="17" max="17" width="11.109375" style="38" customWidth="1"/>
    <col min="18" max="18" width="11.33203125" style="1" bestFit="1" customWidth="1"/>
    <col min="19" max="19" width="18.44140625" style="1" customWidth="1"/>
    <col min="20" max="20" width="26.44140625" style="1" customWidth="1"/>
    <col min="21" max="21" width="10.44140625" style="1" customWidth="1"/>
    <col min="22" max="24" width="17.44140625" style="1" customWidth="1"/>
    <col min="25" max="25" width="21.88671875" style="1" bestFit="1" customWidth="1"/>
    <col min="26" max="26" width="24.44140625" style="38" customWidth="1"/>
    <col min="27" max="29" width="22.6640625" style="38" customWidth="1"/>
    <col min="30" max="30" width="12" style="41" customWidth="1"/>
    <col min="31" max="31" width="34.44140625" style="1" customWidth="1"/>
    <col min="32" max="16384" width="8.88671875" style="1"/>
  </cols>
  <sheetData>
    <row r="1" spans="1:31" s="3" customFormat="1" ht="37.200000000000003" customHeight="1" thickBot="1" x14ac:dyDescent="0.35">
      <c r="A1" s="19"/>
      <c r="B1" s="19"/>
      <c r="C1" s="19"/>
      <c r="D1" s="75" t="s">
        <v>110</v>
      </c>
      <c r="E1" s="75"/>
      <c r="F1" s="75"/>
      <c r="G1" s="22" cm="1">
        <f t="array" ref="G1">SUM(1/COUNTIF(C2:C46,C2:C46))-3</f>
        <v>8.9999999999999964</v>
      </c>
      <c r="H1" s="19"/>
      <c r="I1" s="19"/>
      <c r="J1" s="19"/>
      <c r="K1" s="76" t="str">
        <f>CONCATENATE("PASSED TEST STEPS - QA: ",ROUND((COUNTIF(A3:A46,2)/(COUNTA(D3:D46)))*100,0),"% ","(",COUNTIF(A3:A46,2),"/",COUNTA(D3:D46),")"," - UAT: ",ROUND((COUNTIF(B3:B46,2)/(COUNTA(D3:D46)))*100,0),"% ","(",COUNTIF(B3:B46,2),"/",COUNTA(D3:D46),")")</f>
        <v>PASSED TEST STEPS - QA: 0% (0/10) - UAT: 0% (0/10)</v>
      </c>
      <c r="L1" s="76"/>
      <c r="M1" s="76"/>
      <c r="N1" s="76"/>
      <c r="O1" s="77"/>
      <c r="P1" s="78" t="s">
        <v>26</v>
      </c>
      <c r="Q1" s="79"/>
      <c r="R1" s="79"/>
      <c r="S1" s="79"/>
      <c r="T1" s="79"/>
      <c r="U1" s="79"/>
      <c r="V1" s="79"/>
      <c r="W1" s="79"/>
      <c r="X1" s="79"/>
      <c r="Y1" s="80"/>
      <c r="Z1" s="78" t="s">
        <v>111</v>
      </c>
      <c r="AA1" s="79"/>
      <c r="AB1" s="79"/>
      <c r="AC1" s="79"/>
      <c r="AD1" s="79"/>
      <c r="AE1" s="79"/>
    </row>
    <row r="2" spans="1:31" s="23" customFormat="1" ht="61.2" customHeight="1" x14ac:dyDescent="0.3">
      <c r="A2" s="24" t="s">
        <v>112</v>
      </c>
      <c r="B2" s="24" t="s">
        <v>111</v>
      </c>
      <c r="C2" s="24">
        <v>0</v>
      </c>
      <c r="D2" s="24" t="s">
        <v>113</v>
      </c>
      <c r="E2" s="24" t="s">
        <v>114</v>
      </c>
      <c r="F2" s="24" t="s">
        <v>115</v>
      </c>
      <c r="G2" s="24" t="s">
        <v>116</v>
      </c>
      <c r="H2" s="24" t="s">
        <v>117</v>
      </c>
      <c r="I2" s="24" t="s">
        <v>118</v>
      </c>
      <c r="J2" s="62" t="s">
        <v>119</v>
      </c>
      <c r="K2" s="24" t="s">
        <v>120</v>
      </c>
      <c r="L2" s="24" t="s">
        <v>121</v>
      </c>
      <c r="M2" s="62" t="s">
        <v>122</v>
      </c>
      <c r="N2" s="62" t="s">
        <v>123</v>
      </c>
      <c r="O2" s="24" t="s">
        <v>124</v>
      </c>
      <c r="P2" s="24" t="s">
        <v>125</v>
      </c>
      <c r="Q2" s="35" t="s">
        <v>126</v>
      </c>
      <c r="R2" s="24" t="s">
        <v>127</v>
      </c>
      <c r="S2" s="24" t="s">
        <v>128</v>
      </c>
      <c r="T2" s="24" t="s">
        <v>129</v>
      </c>
      <c r="U2" s="24" t="s">
        <v>130</v>
      </c>
      <c r="V2" s="24" t="s">
        <v>131</v>
      </c>
      <c r="W2" s="24" t="s">
        <v>132</v>
      </c>
      <c r="X2" s="62" t="s">
        <v>133</v>
      </c>
      <c r="Y2" s="62" t="s">
        <v>134</v>
      </c>
      <c r="Z2" s="35" t="s">
        <v>135</v>
      </c>
      <c r="AA2" s="35" t="s">
        <v>136</v>
      </c>
      <c r="AB2" s="35" t="s">
        <v>137</v>
      </c>
      <c r="AC2" s="35" t="s">
        <v>138</v>
      </c>
      <c r="AD2" s="24" t="s">
        <v>139</v>
      </c>
      <c r="AE2" s="24" t="s">
        <v>140</v>
      </c>
    </row>
    <row r="3" spans="1:31" s="2" customFormat="1" ht="28.8" x14ac:dyDescent="0.3">
      <c r="A3" s="11">
        <f>IF(R3="P", 2,IF(R3="F",1,IF(R3="B",1,0)))</f>
        <v>0</v>
      </c>
      <c r="B3" s="11">
        <f>IF(AD3="Y", 2,IF(AD3="N",1,0))</f>
        <v>0</v>
      </c>
      <c r="C3" s="12">
        <f t="shared" ref="C3:C45" si="0">IF(H3=H2,C2,C2+1)</f>
        <v>1</v>
      </c>
      <c r="D3" s="12" t="s">
        <v>66</v>
      </c>
      <c r="E3" s="12" t="s">
        <v>141</v>
      </c>
      <c r="F3" s="12" t="s">
        <v>142</v>
      </c>
      <c r="G3" s="12" t="s">
        <v>143</v>
      </c>
      <c r="H3" s="12" t="s">
        <v>144</v>
      </c>
      <c r="I3" s="13">
        <v>1</v>
      </c>
      <c r="J3" s="13" t="s">
        <v>145</v>
      </c>
      <c r="K3" s="12" t="s">
        <v>201</v>
      </c>
      <c r="L3" s="12"/>
      <c r="N3" s="12"/>
      <c r="O3" s="25"/>
      <c r="P3" s="16"/>
      <c r="Q3" s="36"/>
      <c r="R3" s="12"/>
      <c r="S3" s="12"/>
      <c r="T3" s="12"/>
      <c r="U3" s="12"/>
      <c r="V3" s="14"/>
      <c r="W3" s="14"/>
      <c r="X3" s="12" t="s">
        <v>146</v>
      </c>
      <c r="Y3" s="12" t="s">
        <v>147</v>
      </c>
      <c r="Z3" s="36"/>
      <c r="AA3" s="36"/>
      <c r="AB3" s="36"/>
      <c r="AC3" s="36"/>
      <c r="AD3" s="39"/>
      <c r="AE3" s="12"/>
    </row>
    <row r="4" spans="1:31" s="2" customFormat="1" ht="28.8" x14ac:dyDescent="0.3">
      <c r="A4" s="11"/>
      <c r="B4" s="11"/>
      <c r="C4" s="12">
        <f t="shared" si="0"/>
        <v>1</v>
      </c>
      <c r="D4" s="12"/>
      <c r="E4" s="12" t="s">
        <v>141</v>
      </c>
      <c r="F4" s="12" t="s">
        <v>142</v>
      </c>
      <c r="G4" s="12"/>
      <c r="H4" s="12" t="s">
        <v>144</v>
      </c>
      <c r="I4" s="13">
        <v>2</v>
      </c>
      <c r="J4" s="13" t="s">
        <v>148</v>
      </c>
      <c r="K4" s="12" t="s">
        <v>149</v>
      </c>
      <c r="L4" s="12"/>
      <c r="M4" s="12"/>
      <c r="N4" s="12"/>
      <c r="O4" s="25"/>
      <c r="P4" s="16"/>
      <c r="Q4" s="36"/>
      <c r="R4" s="12"/>
      <c r="S4" s="12"/>
      <c r="T4" s="12"/>
      <c r="U4" s="12"/>
      <c r="V4" s="14"/>
      <c r="W4" s="14"/>
      <c r="X4" s="12"/>
      <c r="Y4" s="12"/>
      <c r="Z4" s="36"/>
      <c r="AA4" s="36"/>
      <c r="AB4" s="36"/>
      <c r="AC4" s="36"/>
      <c r="AD4" s="39"/>
      <c r="AE4" s="12"/>
    </row>
    <row r="5" spans="1:31" s="2" customFormat="1" ht="28.8" x14ac:dyDescent="0.3">
      <c r="A5" s="11"/>
      <c r="B5" s="11"/>
      <c r="C5" s="12">
        <f t="shared" si="0"/>
        <v>1</v>
      </c>
      <c r="D5" s="12"/>
      <c r="E5" s="12" t="s">
        <v>141</v>
      </c>
      <c r="F5" s="12" t="s">
        <v>142</v>
      </c>
      <c r="G5" s="12"/>
      <c r="H5" s="12" t="s">
        <v>144</v>
      </c>
      <c r="I5" s="13">
        <v>3</v>
      </c>
      <c r="J5" s="13" t="s">
        <v>150</v>
      </c>
      <c r="K5" s="65">
        <v>3</v>
      </c>
      <c r="L5" s="12"/>
      <c r="M5" s="12"/>
      <c r="N5" s="12"/>
      <c r="O5" s="25"/>
      <c r="P5" s="16"/>
      <c r="Q5" s="36"/>
      <c r="R5" s="12"/>
      <c r="S5" s="12"/>
      <c r="T5" s="12"/>
      <c r="U5" s="12"/>
      <c r="V5" s="14"/>
      <c r="W5" s="14"/>
      <c r="X5" s="12"/>
      <c r="Y5" s="12"/>
      <c r="Z5" s="36"/>
      <c r="AA5" s="36"/>
      <c r="AB5" s="36"/>
      <c r="AC5" s="36"/>
      <c r="AD5" s="39"/>
      <c r="AE5" s="12"/>
    </row>
    <row r="6" spans="1:31" s="2" customFormat="1" ht="28.8" x14ac:dyDescent="0.3">
      <c r="A6" s="11"/>
      <c r="B6" s="11"/>
      <c r="C6" s="12">
        <f t="shared" si="0"/>
        <v>1</v>
      </c>
      <c r="D6" s="12"/>
      <c r="E6" s="12" t="s">
        <v>141</v>
      </c>
      <c r="F6" s="12" t="s">
        <v>142</v>
      </c>
      <c r="G6" s="12"/>
      <c r="H6" s="12" t="s">
        <v>144</v>
      </c>
      <c r="I6" s="13">
        <v>4</v>
      </c>
      <c r="J6" s="13" t="s">
        <v>151</v>
      </c>
      <c r="K6" s="65">
        <v>4</v>
      </c>
      <c r="L6" s="12" t="s">
        <v>152</v>
      </c>
      <c r="M6" s="12"/>
      <c r="N6" s="12"/>
      <c r="O6" s="25"/>
      <c r="P6" s="16"/>
      <c r="Q6" s="36"/>
      <c r="R6" s="12"/>
      <c r="S6" s="12"/>
      <c r="T6" s="12"/>
      <c r="U6" s="12"/>
      <c r="V6" s="14"/>
      <c r="W6" s="14"/>
      <c r="X6" s="12"/>
      <c r="Y6" s="12"/>
      <c r="Z6" s="36"/>
      <c r="AA6" s="36"/>
      <c r="AB6" s="36"/>
      <c r="AC6" s="36"/>
      <c r="AD6" s="39"/>
      <c r="AE6" s="12"/>
    </row>
    <row r="7" spans="1:31" s="2" customFormat="1" ht="43.2" x14ac:dyDescent="0.3">
      <c r="A7" s="11">
        <f t="shared" ref="A7" si="1">IF(R7="P", 2,IF(R7="F",1,IF(R7="B",1,0)))</f>
        <v>0</v>
      </c>
      <c r="B7" s="11">
        <f t="shared" ref="B7" si="2">IF(AD7="Y", 2,IF(AD7="N",1,0))</f>
        <v>0</v>
      </c>
      <c r="C7" s="12">
        <f t="shared" si="0"/>
        <v>2</v>
      </c>
      <c r="D7" s="12" t="s">
        <v>153</v>
      </c>
      <c r="E7" s="12" t="s">
        <v>154</v>
      </c>
      <c r="F7" s="12" t="s">
        <v>155</v>
      </c>
      <c r="G7" s="12" t="s">
        <v>156</v>
      </c>
      <c r="H7" s="12" t="s">
        <v>157</v>
      </c>
      <c r="I7" s="13">
        <v>1</v>
      </c>
      <c r="J7" s="13" t="s">
        <v>145</v>
      </c>
      <c r="K7" s="65">
        <v>6</v>
      </c>
      <c r="L7" s="12"/>
      <c r="M7" s="12"/>
      <c r="N7" s="12"/>
      <c r="O7" s="25"/>
      <c r="P7" s="16"/>
      <c r="Q7" s="36"/>
      <c r="R7" s="12"/>
      <c r="S7" s="12"/>
      <c r="T7" s="12"/>
      <c r="U7" s="12"/>
      <c r="V7" s="14"/>
      <c r="W7" s="14"/>
      <c r="X7" s="12"/>
      <c r="Y7" s="12"/>
      <c r="Z7" s="36"/>
      <c r="AA7" s="36"/>
      <c r="AB7" s="36"/>
      <c r="AC7" s="36"/>
      <c r="AD7" s="39"/>
      <c r="AE7" s="12"/>
    </row>
    <row r="8" spans="1:31" s="2" customFormat="1" ht="28.8" x14ac:dyDescent="0.3">
      <c r="A8" s="11"/>
      <c r="B8" s="11"/>
      <c r="C8" s="12">
        <f t="shared" si="0"/>
        <v>2</v>
      </c>
      <c r="D8" s="12"/>
      <c r="E8" s="12" t="s">
        <v>154</v>
      </c>
      <c r="F8" s="12" t="s">
        <v>155</v>
      </c>
      <c r="G8" s="12"/>
      <c r="H8" s="12" t="s">
        <v>157</v>
      </c>
      <c r="I8" s="13">
        <v>2</v>
      </c>
      <c r="J8" s="13" t="s">
        <v>148</v>
      </c>
      <c r="K8" s="65" t="s">
        <v>202</v>
      </c>
      <c r="L8" s="12"/>
      <c r="M8" s="12"/>
      <c r="N8" s="12"/>
      <c r="O8" s="25"/>
      <c r="P8" s="16"/>
      <c r="Q8" s="36"/>
      <c r="R8" s="12"/>
      <c r="S8" s="12"/>
      <c r="T8" s="12"/>
      <c r="U8" s="12"/>
      <c r="V8" s="14"/>
      <c r="W8" s="14"/>
      <c r="X8" s="12"/>
      <c r="Y8" s="12"/>
      <c r="Z8" s="36"/>
      <c r="AA8" s="36"/>
      <c r="AB8" s="36"/>
      <c r="AC8" s="36"/>
      <c r="AD8" s="39"/>
      <c r="AE8" s="12"/>
    </row>
    <row r="9" spans="1:31" s="2" customFormat="1" ht="28.8" x14ac:dyDescent="0.3">
      <c r="A9" s="11"/>
      <c r="B9" s="11"/>
      <c r="C9" s="12">
        <f t="shared" si="0"/>
        <v>2</v>
      </c>
      <c r="D9" s="12"/>
      <c r="E9" s="12" t="s">
        <v>154</v>
      </c>
      <c r="F9" s="12" t="s">
        <v>155</v>
      </c>
      <c r="G9" s="12"/>
      <c r="H9" s="12" t="s">
        <v>157</v>
      </c>
      <c r="I9" s="13">
        <v>3</v>
      </c>
      <c r="J9" s="13" t="s">
        <v>150</v>
      </c>
      <c r="K9" s="65" t="s">
        <v>203</v>
      </c>
      <c r="L9" s="12"/>
      <c r="M9" s="12"/>
      <c r="N9" s="12"/>
      <c r="O9" s="25"/>
      <c r="P9" s="16"/>
      <c r="Q9" s="36"/>
      <c r="R9" s="12"/>
      <c r="S9" s="12"/>
      <c r="T9" s="12"/>
      <c r="U9" s="12"/>
      <c r="V9" s="14"/>
      <c r="W9" s="14"/>
      <c r="X9" s="12"/>
      <c r="Y9" s="12"/>
      <c r="Z9" s="36"/>
      <c r="AA9" s="36"/>
      <c r="AB9" s="36"/>
      <c r="AC9" s="36"/>
      <c r="AD9" s="39"/>
      <c r="AE9" s="12"/>
    </row>
    <row r="10" spans="1:31" s="2" customFormat="1" ht="28.8" x14ac:dyDescent="0.3">
      <c r="A10" s="11"/>
      <c r="B10" s="11"/>
      <c r="C10" s="12">
        <f t="shared" si="0"/>
        <v>2</v>
      </c>
      <c r="D10" s="12"/>
      <c r="E10" s="12" t="s">
        <v>154</v>
      </c>
      <c r="F10" s="12" t="s">
        <v>155</v>
      </c>
      <c r="G10" s="12"/>
      <c r="H10" s="12" t="s">
        <v>157</v>
      </c>
      <c r="I10" s="13">
        <v>4</v>
      </c>
      <c r="J10" s="13" t="s">
        <v>151</v>
      </c>
      <c r="K10" s="65" t="s">
        <v>204</v>
      </c>
      <c r="L10" s="12"/>
      <c r="M10" s="12"/>
      <c r="N10" s="12"/>
      <c r="O10" s="25"/>
      <c r="P10" s="16"/>
      <c r="Q10" s="36"/>
      <c r="R10" s="12"/>
      <c r="S10" s="12"/>
      <c r="T10" s="12"/>
      <c r="U10" s="12"/>
      <c r="V10" s="14"/>
      <c r="W10" s="14"/>
      <c r="X10" s="12"/>
      <c r="Y10" s="12"/>
      <c r="Z10" s="36"/>
      <c r="AA10" s="36"/>
      <c r="AB10" s="36"/>
      <c r="AC10" s="36"/>
      <c r="AD10" s="39"/>
      <c r="AE10" s="12"/>
    </row>
    <row r="11" spans="1:31" s="2" customFormat="1" ht="43.2" x14ac:dyDescent="0.3">
      <c r="A11" s="11">
        <f t="shared" ref="A11" si="3">IF(R11="P", 2,IF(R11="F",1,IF(R11="B",1,0)))</f>
        <v>0</v>
      </c>
      <c r="B11" s="11">
        <f t="shared" ref="B11" si="4">IF(AD11="Y", 2,IF(AD11="N",1,0))</f>
        <v>0</v>
      </c>
      <c r="C11" s="12">
        <f t="shared" si="0"/>
        <v>3</v>
      </c>
      <c r="D11" s="12" t="s">
        <v>153</v>
      </c>
      <c r="E11" s="12" t="s">
        <v>154</v>
      </c>
      <c r="F11" s="12" t="s">
        <v>158</v>
      </c>
      <c r="G11" s="12" t="s">
        <v>156</v>
      </c>
      <c r="H11" s="12" t="s">
        <v>159</v>
      </c>
      <c r="I11" s="13">
        <v>1</v>
      </c>
      <c r="J11" s="13" t="s">
        <v>145</v>
      </c>
      <c r="K11" s="65" t="s">
        <v>205</v>
      </c>
      <c r="L11" s="12"/>
      <c r="M11" s="12"/>
      <c r="N11" s="12"/>
      <c r="O11" s="25"/>
      <c r="P11" s="16"/>
      <c r="Q11" s="36"/>
      <c r="R11" s="12"/>
      <c r="S11" s="12"/>
      <c r="T11" s="12"/>
      <c r="U11" s="12"/>
      <c r="V11" s="14"/>
      <c r="W11" s="14"/>
      <c r="X11" s="12"/>
      <c r="Y11" s="12"/>
      <c r="Z11" s="36"/>
      <c r="AA11" s="36"/>
      <c r="AB11" s="36"/>
      <c r="AC11" s="36"/>
      <c r="AD11" s="39"/>
      <c r="AE11" s="12"/>
    </row>
    <row r="12" spans="1:31" s="2" customFormat="1" ht="28.8" x14ac:dyDescent="0.3">
      <c r="A12" s="11"/>
      <c r="B12" s="11"/>
      <c r="C12" s="12">
        <f t="shared" si="0"/>
        <v>3</v>
      </c>
      <c r="D12" s="12"/>
      <c r="E12" s="12" t="s">
        <v>154</v>
      </c>
      <c r="F12" s="12" t="s">
        <v>158</v>
      </c>
      <c r="G12" s="12"/>
      <c r="H12" s="12" t="s">
        <v>159</v>
      </c>
      <c r="I12" s="13">
        <v>2</v>
      </c>
      <c r="J12" s="13" t="s">
        <v>148</v>
      </c>
      <c r="K12" s="65" t="s">
        <v>206</v>
      </c>
      <c r="L12" s="12"/>
      <c r="M12" s="12"/>
      <c r="N12" s="12"/>
      <c r="O12" s="25"/>
      <c r="P12" s="16"/>
      <c r="Q12" s="36"/>
      <c r="R12" s="12"/>
      <c r="S12" s="12"/>
      <c r="T12" s="12"/>
      <c r="U12" s="12"/>
      <c r="V12" s="14"/>
      <c r="W12" s="14"/>
      <c r="X12" s="12"/>
      <c r="Y12" s="12"/>
      <c r="Z12" s="36"/>
      <c r="AA12" s="36"/>
      <c r="AB12" s="36"/>
      <c r="AC12" s="36"/>
      <c r="AD12" s="39"/>
      <c r="AE12" s="12"/>
    </row>
    <row r="13" spans="1:31" s="2" customFormat="1" ht="28.8" x14ac:dyDescent="0.3">
      <c r="A13" s="11"/>
      <c r="B13" s="11"/>
      <c r="C13" s="12">
        <f t="shared" si="0"/>
        <v>3</v>
      </c>
      <c r="D13" s="12"/>
      <c r="E13" s="12" t="s">
        <v>154</v>
      </c>
      <c r="F13" s="12" t="s">
        <v>158</v>
      </c>
      <c r="G13" s="12"/>
      <c r="H13" s="12" t="s">
        <v>159</v>
      </c>
      <c r="I13" s="13">
        <v>3</v>
      </c>
      <c r="J13" s="13" t="s">
        <v>150</v>
      </c>
      <c r="K13" s="65" t="s">
        <v>207</v>
      </c>
      <c r="L13" s="12"/>
      <c r="M13" s="12"/>
      <c r="N13" s="12"/>
      <c r="O13" s="25"/>
      <c r="P13" s="16"/>
      <c r="Q13" s="36"/>
      <c r="R13" s="12"/>
      <c r="S13" s="12"/>
      <c r="T13" s="12"/>
      <c r="U13" s="12"/>
      <c r="V13" s="14"/>
      <c r="W13" s="14"/>
      <c r="X13" s="12"/>
      <c r="Y13" s="12"/>
      <c r="Z13" s="36"/>
      <c r="AA13" s="36"/>
      <c r="AB13" s="36"/>
      <c r="AC13" s="36"/>
      <c r="AD13" s="39"/>
      <c r="AE13" s="12"/>
    </row>
    <row r="14" spans="1:31" s="2" customFormat="1" ht="28.8" x14ac:dyDescent="0.3">
      <c r="A14" s="11"/>
      <c r="B14" s="11"/>
      <c r="C14" s="12">
        <f t="shared" si="0"/>
        <v>3</v>
      </c>
      <c r="D14" s="12"/>
      <c r="E14" s="12" t="s">
        <v>154</v>
      </c>
      <c r="F14" s="12" t="s">
        <v>158</v>
      </c>
      <c r="G14" s="12"/>
      <c r="H14" s="12" t="s">
        <v>159</v>
      </c>
      <c r="I14" s="13">
        <v>4</v>
      </c>
      <c r="J14" s="13" t="s">
        <v>151</v>
      </c>
      <c r="K14" s="65" t="s">
        <v>208</v>
      </c>
      <c r="L14" s="12"/>
      <c r="M14" s="12"/>
      <c r="N14" s="12"/>
      <c r="O14" s="25"/>
      <c r="P14" s="16"/>
      <c r="Q14" s="36"/>
      <c r="R14" s="12"/>
      <c r="S14" s="12"/>
      <c r="T14" s="12"/>
      <c r="U14" s="12"/>
      <c r="V14" s="14"/>
      <c r="W14" s="14"/>
      <c r="X14" s="12"/>
      <c r="Y14" s="12"/>
      <c r="Z14" s="36"/>
      <c r="AA14" s="36"/>
      <c r="AB14" s="36"/>
      <c r="AC14" s="36"/>
      <c r="AD14" s="39"/>
      <c r="AE14" s="12"/>
    </row>
    <row r="15" spans="1:31" s="2" customFormat="1" ht="43.2" x14ac:dyDescent="0.3">
      <c r="A15" s="11">
        <f t="shared" ref="A15" si="5">IF(R15="P", 2,IF(R15="F",1,IF(R15="B",1,0)))</f>
        <v>0</v>
      </c>
      <c r="B15" s="11">
        <f t="shared" ref="B15" si="6">IF(AD15="Y", 2,IF(AD15="N",1,0))</f>
        <v>0</v>
      </c>
      <c r="C15" s="12">
        <f t="shared" si="0"/>
        <v>4</v>
      </c>
      <c r="D15" s="12" t="s">
        <v>153</v>
      </c>
      <c r="E15" s="12" t="s">
        <v>154</v>
      </c>
      <c r="F15" s="12" t="s">
        <v>160</v>
      </c>
      <c r="G15" s="12" t="s">
        <v>156</v>
      </c>
      <c r="H15" s="12" t="s">
        <v>161</v>
      </c>
      <c r="I15" s="13">
        <v>1</v>
      </c>
      <c r="J15" s="13" t="s">
        <v>145</v>
      </c>
      <c r="K15" s="65" t="s">
        <v>208</v>
      </c>
      <c r="L15" s="12"/>
      <c r="M15" s="12"/>
      <c r="N15" s="12"/>
      <c r="O15" s="25"/>
      <c r="P15" s="16"/>
      <c r="Q15" s="36"/>
      <c r="R15" s="12"/>
      <c r="S15" s="12"/>
      <c r="T15" s="12"/>
      <c r="U15" s="12"/>
      <c r="V15" s="14"/>
      <c r="W15" s="14"/>
      <c r="X15" s="12"/>
      <c r="Y15" s="12"/>
      <c r="Z15" s="36"/>
      <c r="AA15" s="36"/>
      <c r="AB15" s="36"/>
      <c r="AC15" s="36"/>
      <c r="AD15" s="39"/>
      <c r="AE15" s="12"/>
    </row>
    <row r="16" spans="1:31" s="2" customFormat="1" x14ac:dyDescent="0.3">
      <c r="A16" s="11"/>
      <c r="B16" s="11"/>
      <c r="C16" s="12">
        <f t="shared" si="0"/>
        <v>4</v>
      </c>
      <c r="D16" s="12"/>
      <c r="E16" s="12" t="s">
        <v>154</v>
      </c>
      <c r="F16" s="12" t="s">
        <v>160</v>
      </c>
      <c r="G16" s="12"/>
      <c r="H16" s="12" t="s">
        <v>161</v>
      </c>
      <c r="I16" s="13">
        <v>2</v>
      </c>
      <c r="J16" s="13" t="s">
        <v>148</v>
      </c>
      <c r="K16" s="65" t="s">
        <v>208</v>
      </c>
      <c r="L16" s="12"/>
      <c r="M16" s="12"/>
      <c r="N16" s="12"/>
      <c r="O16" s="25"/>
      <c r="P16" s="16"/>
      <c r="Q16" s="36"/>
      <c r="R16" s="12"/>
      <c r="S16" s="12"/>
      <c r="T16" s="12"/>
      <c r="U16" s="12"/>
      <c r="V16" s="14"/>
      <c r="W16" s="14"/>
      <c r="X16" s="12"/>
      <c r="Y16" s="12"/>
      <c r="Z16" s="36"/>
      <c r="AA16" s="36"/>
      <c r="AB16" s="36"/>
      <c r="AC16" s="36"/>
      <c r="AD16" s="39"/>
      <c r="AE16" s="12"/>
    </row>
    <row r="17" spans="1:31" s="2" customFormat="1" x14ac:dyDescent="0.3">
      <c r="A17" s="11"/>
      <c r="B17" s="11"/>
      <c r="C17" s="12">
        <f t="shared" si="0"/>
        <v>4</v>
      </c>
      <c r="D17" s="12"/>
      <c r="E17" s="12" t="s">
        <v>154</v>
      </c>
      <c r="F17" s="12" t="s">
        <v>160</v>
      </c>
      <c r="G17" s="12"/>
      <c r="H17" s="12" t="s">
        <v>161</v>
      </c>
      <c r="I17" s="13">
        <v>3</v>
      </c>
      <c r="J17" s="13" t="s">
        <v>150</v>
      </c>
      <c r="K17" s="65" t="s">
        <v>209</v>
      </c>
      <c r="L17" s="12"/>
      <c r="M17" s="12"/>
      <c r="N17" s="12"/>
      <c r="O17" s="25"/>
      <c r="P17" s="16"/>
      <c r="Q17" s="36"/>
      <c r="R17" s="12"/>
      <c r="S17" s="12"/>
      <c r="T17" s="12"/>
      <c r="U17" s="12"/>
      <c r="V17" s="14"/>
      <c r="W17" s="14"/>
      <c r="X17" s="12"/>
      <c r="Y17" s="12"/>
      <c r="Z17" s="36"/>
      <c r="AA17" s="36"/>
      <c r="AB17" s="36"/>
      <c r="AC17" s="36"/>
      <c r="AD17" s="39"/>
      <c r="AE17" s="12"/>
    </row>
    <row r="18" spans="1:31" s="2" customFormat="1" x14ac:dyDescent="0.3">
      <c r="A18" s="11"/>
      <c r="B18" s="11"/>
      <c r="C18" s="12">
        <f t="shared" si="0"/>
        <v>4</v>
      </c>
      <c r="D18" s="12"/>
      <c r="E18" s="12" t="s">
        <v>154</v>
      </c>
      <c r="F18" s="12" t="s">
        <v>160</v>
      </c>
      <c r="G18" s="12"/>
      <c r="H18" s="12" t="s">
        <v>161</v>
      </c>
      <c r="I18" s="13">
        <v>4</v>
      </c>
      <c r="J18" s="13" t="s">
        <v>151</v>
      </c>
      <c r="K18" s="65" t="s">
        <v>209</v>
      </c>
      <c r="L18" s="12"/>
      <c r="M18" s="12"/>
      <c r="N18" s="12"/>
      <c r="O18" s="25"/>
      <c r="P18" s="16"/>
      <c r="Q18" s="36"/>
      <c r="R18" s="12"/>
      <c r="S18" s="12"/>
      <c r="T18" s="12"/>
      <c r="U18" s="12"/>
      <c r="V18" s="14"/>
      <c r="W18" s="14"/>
      <c r="X18" s="12"/>
      <c r="Y18" s="12"/>
      <c r="Z18" s="36"/>
      <c r="AA18" s="36"/>
      <c r="AB18" s="36"/>
      <c r="AC18" s="36"/>
      <c r="AD18" s="39"/>
      <c r="AE18" s="12"/>
    </row>
    <row r="19" spans="1:31" s="2" customFormat="1" ht="43.2" x14ac:dyDescent="0.3">
      <c r="A19" s="11">
        <f t="shared" ref="A19" si="7">IF(R19="P", 2,IF(R19="F",1,IF(R19="B",1,0)))</f>
        <v>0</v>
      </c>
      <c r="B19" s="11">
        <f t="shared" ref="B19" si="8">IF(AD19="Y", 2,IF(AD19="N",1,0))</f>
        <v>0</v>
      </c>
      <c r="C19" s="12">
        <f t="shared" si="0"/>
        <v>5</v>
      </c>
      <c r="D19" s="12" t="s">
        <v>153</v>
      </c>
      <c r="E19" s="12" t="s">
        <v>162</v>
      </c>
      <c r="F19" s="12" t="s">
        <v>163</v>
      </c>
      <c r="G19" s="12" t="s">
        <v>156</v>
      </c>
      <c r="H19" s="12" t="s">
        <v>157</v>
      </c>
      <c r="I19" s="13">
        <v>1</v>
      </c>
      <c r="J19" s="13" t="s">
        <v>145</v>
      </c>
      <c r="K19" s="65" t="s">
        <v>209</v>
      </c>
      <c r="L19" s="12"/>
      <c r="M19" s="12"/>
      <c r="N19" s="12"/>
      <c r="O19" s="25"/>
      <c r="P19" s="16"/>
      <c r="Q19" s="36"/>
      <c r="R19" s="12"/>
      <c r="S19" s="12"/>
      <c r="T19" s="12"/>
      <c r="U19" s="12"/>
      <c r="V19" s="14"/>
      <c r="W19" s="14"/>
      <c r="X19" s="12"/>
      <c r="Y19" s="12"/>
      <c r="Z19" s="36"/>
      <c r="AA19" s="36"/>
      <c r="AB19" s="36"/>
      <c r="AC19" s="36"/>
      <c r="AD19" s="39"/>
      <c r="AE19" s="12"/>
    </row>
    <row r="20" spans="1:31" s="2" customFormat="1" x14ac:dyDescent="0.3">
      <c r="A20" s="11"/>
      <c r="B20" s="11"/>
      <c r="C20" s="12">
        <f t="shared" si="0"/>
        <v>5</v>
      </c>
      <c r="D20" s="12"/>
      <c r="E20" s="12" t="s">
        <v>162</v>
      </c>
      <c r="F20" s="12" t="s">
        <v>163</v>
      </c>
      <c r="G20" s="12"/>
      <c r="H20" s="12" t="s">
        <v>157</v>
      </c>
      <c r="I20" s="13">
        <v>2</v>
      </c>
      <c r="J20" s="13" t="s">
        <v>148</v>
      </c>
      <c r="K20" s="65" t="s">
        <v>210</v>
      </c>
      <c r="L20" s="12"/>
      <c r="M20" s="12"/>
      <c r="N20" s="12"/>
      <c r="O20" s="25"/>
      <c r="P20" s="16"/>
      <c r="Q20" s="36"/>
      <c r="R20" s="12"/>
      <c r="S20" s="12"/>
      <c r="T20" s="12"/>
      <c r="U20" s="12"/>
      <c r="V20" s="14"/>
      <c r="W20" s="14"/>
      <c r="X20" s="12"/>
      <c r="Y20" s="12"/>
      <c r="Z20" s="36"/>
      <c r="AA20" s="36"/>
      <c r="AB20" s="36"/>
      <c r="AC20" s="36"/>
      <c r="AD20" s="39"/>
      <c r="AE20" s="12"/>
    </row>
    <row r="21" spans="1:31" s="2" customFormat="1" x14ac:dyDescent="0.3">
      <c r="A21" s="11"/>
      <c r="B21" s="11"/>
      <c r="C21" s="12">
        <f t="shared" si="0"/>
        <v>5</v>
      </c>
      <c r="D21" s="12"/>
      <c r="E21" s="12" t="s">
        <v>162</v>
      </c>
      <c r="F21" s="12" t="s">
        <v>163</v>
      </c>
      <c r="G21" s="12"/>
      <c r="H21" s="12" t="s">
        <v>157</v>
      </c>
      <c r="I21" s="13">
        <v>3</v>
      </c>
      <c r="J21" s="13" t="s">
        <v>150</v>
      </c>
      <c r="K21" s="65" t="s">
        <v>210</v>
      </c>
      <c r="L21" s="12"/>
      <c r="M21" s="12"/>
      <c r="N21" s="12"/>
      <c r="O21" s="25"/>
      <c r="P21" s="16"/>
      <c r="Q21" s="36"/>
      <c r="R21" s="12"/>
      <c r="S21" s="12"/>
      <c r="T21" s="12"/>
      <c r="U21" s="12"/>
      <c r="V21" s="14"/>
      <c r="W21" s="14"/>
      <c r="X21" s="12"/>
      <c r="Y21" s="12"/>
      <c r="Z21" s="36"/>
      <c r="AA21" s="36"/>
      <c r="AB21" s="36"/>
      <c r="AC21" s="36"/>
      <c r="AD21" s="39"/>
      <c r="AE21" s="12"/>
    </row>
    <row r="22" spans="1:31" s="2" customFormat="1" x14ac:dyDescent="0.3">
      <c r="A22" s="11"/>
      <c r="B22" s="11"/>
      <c r="C22" s="12">
        <f t="shared" si="0"/>
        <v>5</v>
      </c>
      <c r="D22" s="12"/>
      <c r="E22" s="12" t="s">
        <v>162</v>
      </c>
      <c r="F22" s="12" t="s">
        <v>163</v>
      </c>
      <c r="G22" s="12"/>
      <c r="H22" s="12" t="s">
        <v>157</v>
      </c>
      <c r="I22" s="13">
        <v>4</v>
      </c>
      <c r="J22" s="13" t="s">
        <v>151</v>
      </c>
      <c r="K22" s="65" t="s">
        <v>211</v>
      </c>
      <c r="L22" s="12"/>
      <c r="M22" s="12" t="s">
        <v>222</v>
      </c>
      <c r="N22" s="12"/>
      <c r="O22" s="25"/>
      <c r="P22" s="16"/>
      <c r="Q22" s="36"/>
      <c r="R22" s="12"/>
      <c r="S22" s="12"/>
      <c r="T22" s="12"/>
      <c r="U22" s="12"/>
      <c r="V22" s="14"/>
      <c r="W22" s="14"/>
      <c r="X22" s="12"/>
      <c r="Y22" s="12"/>
      <c r="Z22" s="36"/>
      <c r="AA22" s="36"/>
      <c r="AB22" s="36"/>
      <c r="AC22" s="36"/>
      <c r="AD22" s="39"/>
      <c r="AE22" s="12"/>
    </row>
    <row r="23" spans="1:31" s="2" customFormat="1" ht="43.2" x14ac:dyDescent="0.3">
      <c r="A23" s="11">
        <f t="shared" ref="A23" si="9">IF(R23="P", 2,IF(R23="F",1,IF(R23="B",1,0)))</f>
        <v>0</v>
      </c>
      <c r="B23" s="11">
        <f t="shared" ref="B23" si="10">IF(AD23="Y", 2,IF(AD23="N",1,0))</f>
        <v>0</v>
      </c>
      <c r="C23" s="12">
        <f t="shared" si="0"/>
        <v>6</v>
      </c>
      <c r="D23" s="12" t="s">
        <v>153</v>
      </c>
      <c r="E23" s="12" t="s">
        <v>162</v>
      </c>
      <c r="F23" s="12" t="s">
        <v>164</v>
      </c>
      <c r="G23" s="12" t="s">
        <v>156</v>
      </c>
      <c r="H23" s="12" t="s">
        <v>159</v>
      </c>
      <c r="I23" s="13">
        <v>1</v>
      </c>
      <c r="J23" s="13" t="s">
        <v>145</v>
      </c>
      <c r="K23" s="65" t="s">
        <v>209</v>
      </c>
      <c r="L23" s="12"/>
      <c r="M23" s="12"/>
      <c r="N23" s="12"/>
      <c r="O23" s="25"/>
      <c r="P23" s="16"/>
      <c r="Q23" s="36"/>
      <c r="R23" s="12"/>
      <c r="S23" s="12"/>
      <c r="T23" s="12"/>
      <c r="U23" s="12"/>
      <c r="V23" s="14"/>
      <c r="W23" s="14"/>
      <c r="X23" s="12"/>
      <c r="Y23" s="12"/>
      <c r="Z23" s="36"/>
      <c r="AA23" s="36"/>
      <c r="AB23" s="36"/>
      <c r="AC23" s="36"/>
      <c r="AD23" s="39"/>
      <c r="AE23" s="12"/>
    </row>
    <row r="24" spans="1:31" s="2" customFormat="1" ht="28.8" x14ac:dyDescent="0.3">
      <c r="A24" s="11"/>
      <c r="B24" s="11"/>
      <c r="C24" s="12">
        <f t="shared" si="0"/>
        <v>6</v>
      </c>
      <c r="D24" s="12"/>
      <c r="E24" s="12" t="s">
        <v>162</v>
      </c>
      <c r="F24" s="12" t="s">
        <v>164</v>
      </c>
      <c r="G24" s="12"/>
      <c r="H24" s="12" t="s">
        <v>159</v>
      </c>
      <c r="I24" s="13">
        <v>2</v>
      </c>
      <c r="J24" s="13" t="s">
        <v>148</v>
      </c>
      <c r="K24" s="65" t="s">
        <v>209</v>
      </c>
      <c r="L24" s="12"/>
      <c r="M24" s="12"/>
      <c r="N24" s="12"/>
      <c r="O24" s="25"/>
      <c r="P24" s="16"/>
      <c r="Q24" s="36"/>
      <c r="R24" s="12"/>
      <c r="S24" s="12"/>
      <c r="T24" s="12"/>
      <c r="U24" s="12"/>
      <c r="V24" s="14"/>
      <c r="W24" s="14"/>
      <c r="X24" s="12"/>
      <c r="Y24" s="12"/>
      <c r="Z24" s="36"/>
      <c r="AA24" s="36"/>
      <c r="AB24" s="36"/>
      <c r="AC24" s="36"/>
      <c r="AD24" s="39"/>
      <c r="AE24" s="12"/>
    </row>
    <row r="25" spans="1:31" s="2" customFormat="1" ht="28.8" x14ac:dyDescent="0.3">
      <c r="A25" s="11"/>
      <c r="B25" s="11"/>
      <c r="C25" s="12">
        <f t="shared" si="0"/>
        <v>6</v>
      </c>
      <c r="D25" s="12"/>
      <c r="E25" s="12" t="s">
        <v>162</v>
      </c>
      <c r="F25" s="12" t="s">
        <v>164</v>
      </c>
      <c r="G25" s="12"/>
      <c r="H25" s="12" t="s">
        <v>159</v>
      </c>
      <c r="I25" s="13">
        <v>3</v>
      </c>
      <c r="J25" s="13" t="s">
        <v>150</v>
      </c>
      <c r="K25" s="65" t="s">
        <v>212</v>
      </c>
      <c r="L25" s="12"/>
      <c r="M25" s="12"/>
      <c r="N25" s="12"/>
      <c r="O25" s="25"/>
      <c r="P25" s="16"/>
      <c r="Q25" s="36"/>
      <c r="R25" s="12"/>
      <c r="S25" s="12"/>
      <c r="T25" s="12"/>
      <c r="U25" s="12"/>
      <c r="V25" s="14"/>
      <c r="W25" s="14"/>
      <c r="X25" s="12"/>
      <c r="Y25" s="12"/>
      <c r="Z25" s="36"/>
      <c r="AA25" s="36"/>
      <c r="AB25" s="36"/>
      <c r="AC25" s="36"/>
      <c r="AD25" s="39"/>
      <c r="AE25" s="12"/>
    </row>
    <row r="26" spans="1:31" s="2" customFormat="1" ht="28.8" x14ac:dyDescent="0.3">
      <c r="A26" s="11"/>
      <c r="B26" s="11"/>
      <c r="C26" s="12">
        <f t="shared" si="0"/>
        <v>6</v>
      </c>
      <c r="D26" s="12"/>
      <c r="E26" s="12" t="s">
        <v>162</v>
      </c>
      <c r="F26" s="12" t="s">
        <v>164</v>
      </c>
      <c r="G26" s="12"/>
      <c r="H26" s="12" t="s">
        <v>159</v>
      </c>
      <c r="I26" s="13">
        <v>4</v>
      </c>
      <c r="J26" s="13" t="s">
        <v>151</v>
      </c>
      <c r="K26" s="65" t="s">
        <v>209</v>
      </c>
      <c r="L26" s="12"/>
      <c r="M26" s="12"/>
      <c r="N26" s="12"/>
      <c r="O26" s="25"/>
      <c r="P26" s="16"/>
      <c r="Q26" s="36"/>
      <c r="R26" s="12"/>
      <c r="S26" s="12"/>
      <c r="T26" s="12"/>
      <c r="U26" s="12"/>
      <c r="V26" s="14"/>
      <c r="W26" s="14"/>
      <c r="X26" s="12"/>
      <c r="Y26" s="12"/>
      <c r="Z26" s="36"/>
      <c r="AA26" s="36"/>
      <c r="AB26" s="36"/>
      <c r="AC26" s="36"/>
      <c r="AD26" s="39"/>
      <c r="AE26" s="12"/>
    </row>
    <row r="27" spans="1:31" s="2" customFormat="1" ht="43.2" x14ac:dyDescent="0.3">
      <c r="A27" s="11">
        <f t="shared" ref="A27" si="11">IF(R27="P", 2,IF(R27="F",1,IF(R27="B",1,0)))</f>
        <v>0</v>
      </c>
      <c r="B27" s="11">
        <f t="shared" ref="B27" si="12">IF(AD27="Y", 2,IF(AD27="N",1,0))</f>
        <v>0</v>
      </c>
      <c r="C27" s="12">
        <f t="shared" si="0"/>
        <v>7</v>
      </c>
      <c r="D27" s="12" t="s">
        <v>153</v>
      </c>
      <c r="E27" s="12" t="s">
        <v>165</v>
      </c>
      <c r="F27" s="12" t="s">
        <v>166</v>
      </c>
      <c r="G27" s="12" t="s">
        <v>156</v>
      </c>
      <c r="H27" s="12" t="s">
        <v>157</v>
      </c>
      <c r="I27" s="13">
        <v>1</v>
      </c>
      <c r="J27" s="13" t="s">
        <v>145</v>
      </c>
      <c r="K27" s="65" t="s">
        <v>213</v>
      </c>
      <c r="L27" s="12"/>
      <c r="M27" s="12"/>
      <c r="N27" s="12"/>
      <c r="O27" s="25"/>
      <c r="P27" s="16"/>
      <c r="Q27" s="36"/>
      <c r="R27" s="12"/>
      <c r="S27" s="12"/>
      <c r="T27" s="12"/>
      <c r="U27" s="12"/>
      <c r="V27" s="14"/>
      <c r="W27" s="14"/>
      <c r="X27" s="12"/>
      <c r="Y27" s="12"/>
      <c r="Z27" s="36"/>
      <c r="AA27" s="36"/>
      <c r="AB27" s="36"/>
      <c r="AC27" s="36"/>
      <c r="AD27" s="39"/>
      <c r="AE27" s="12"/>
    </row>
    <row r="28" spans="1:31" s="2" customFormat="1" ht="28.8" x14ac:dyDescent="0.3">
      <c r="A28" s="11"/>
      <c r="B28" s="11"/>
      <c r="C28" s="12">
        <f t="shared" si="0"/>
        <v>7</v>
      </c>
      <c r="D28" s="12"/>
      <c r="E28" s="12" t="s">
        <v>165</v>
      </c>
      <c r="F28" s="12" t="s">
        <v>166</v>
      </c>
      <c r="G28" s="12"/>
      <c r="H28" s="12" t="s">
        <v>157</v>
      </c>
      <c r="I28" s="13">
        <v>2</v>
      </c>
      <c r="J28" s="13" t="s">
        <v>148</v>
      </c>
      <c r="K28" s="65" t="s">
        <v>214</v>
      </c>
      <c r="L28" s="12"/>
      <c r="M28" s="12"/>
      <c r="N28" s="12"/>
      <c r="O28" s="25"/>
      <c r="P28" s="16"/>
      <c r="Q28" s="36"/>
      <c r="R28" s="12"/>
      <c r="S28" s="12"/>
      <c r="T28" s="12"/>
      <c r="U28" s="12"/>
      <c r="V28" s="14"/>
      <c r="W28" s="14"/>
      <c r="X28" s="12"/>
      <c r="Y28" s="12"/>
      <c r="Z28" s="36"/>
      <c r="AA28" s="36"/>
      <c r="AB28" s="36"/>
      <c r="AC28" s="36"/>
      <c r="AD28" s="39"/>
      <c r="AE28" s="12"/>
    </row>
    <row r="29" spans="1:31" s="2" customFormat="1" ht="28.8" x14ac:dyDescent="0.3">
      <c r="A29" s="11"/>
      <c r="B29" s="11"/>
      <c r="C29" s="12">
        <f t="shared" si="0"/>
        <v>7</v>
      </c>
      <c r="D29" s="12"/>
      <c r="E29" s="12" t="s">
        <v>165</v>
      </c>
      <c r="F29" s="12" t="s">
        <v>166</v>
      </c>
      <c r="G29" s="12"/>
      <c r="H29" s="12" t="s">
        <v>157</v>
      </c>
      <c r="I29" s="13">
        <v>3</v>
      </c>
      <c r="J29" s="13" t="s">
        <v>150</v>
      </c>
      <c r="K29" s="65" t="s">
        <v>209</v>
      </c>
      <c r="L29" s="12"/>
      <c r="M29" s="12"/>
      <c r="N29" s="12"/>
      <c r="O29" s="25"/>
      <c r="P29" s="16"/>
      <c r="Q29" s="36"/>
      <c r="R29" s="12"/>
      <c r="S29" s="12"/>
      <c r="T29" s="12"/>
      <c r="U29" s="12"/>
      <c r="V29" s="14"/>
      <c r="W29" s="14"/>
      <c r="X29" s="12"/>
      <c r="Y29" s="12"/>
      <c r="Z29" s="36"/>
      <c r="AA29" s="36"/>
      <c r="AB29" s="36"/>
      <c r="AC29" s="36"/>
      <c r="AD29" s="39"/>
      <c r="AE29" s="12"/>
    </row>
    <row r="30" spans="1:31" s="2" customFormat="1" ht="28.8" x14ac:dyDescent="0.3">
      <c r="A30" s="11"/>
      <c r="B30" s="11"/>
      <c r="C30" s="12">
        <f t="shared" si="0"/>
        <v>7</v>
      </c>
      <c r="D30" s="12"/>
      <c r="E30" s="12" t="s">
        <v>165</v>
      </c>
      <c r="F30" s="12" t="s">
        <v>166</v>
      </c>
      <c r="G30" s="12"/>
      <c r="H30" s="12" t="s">
        <v>157</v>
      </c>
      <c r="I30" s="13">
        <v>4</v>
      </c>
      <c r="J30" s="13" t="s">
        <v>151</v>
      </c>
      <c r="K30" s="65" t="s">
        <v>215</v>
      </c>
      <c r="L30" s="12"/>
      <c r="M30" s="12"/>
      <c r="N30" s="12"/>
      <c r="O30" s="25"/>
      <c r="P30" s="16"/>
      <c r="Q30" s="36"/>
      <c r="R30" s="12"/>
      <c r="S30" s="12"/>
      <c r="T30" s="12"/>
      <c r="U30" s="12"/>
      <c r="V30" s="14"/>
      <c r="W30" s="14"/>
      <c r="X30" s="12"/>
      <c r="Y30" s="12"/>
      <c r="Z30" s="36"/>
      <c r="AA30" s="36"/>
      <c r="AB30" s="36"/>
      <c r="AC30" s="36"/>
      <c r="AD30" s="39"/>
      <c r="AE30" s="12"/>
    </row>
    <row r="31" spans="1:31" s="2" customFormat="1" ht="43.2" x14ac:dyDescent="0.3">
      <c r="A31" s="11">
        <f t="shared" ref="A31" si="13">IF(R31="P", 2,IF(R31="F",1,IF(R31="B",1,0)))</f>
        <v>0</v>
      </c>
      <c r="B31" s="11">
        <f t="shared" ref="B31" si="14">IF(AD31="Y", 2,IF(AD31="N",1,0))</f>
        <v>0</v>
      </c>
      <c r="C31" s="12">
        <f t="shared" si="0"/>
        <v>8</v>
      </c>
      <c r="D31" s="12" t="s">
        <v>153</v>
      </c>
      <c r="E31" s="12" t="s">
        <v>165</v>
      </c>
      <c r="F31" s="12" t="s">
        <v>167</v>
      </c>
      <c r="G31" s="12" t="s">
        <v>156</v>
      </c>
      <c r="H31" s="12" t="s">
        <v>159</v>
      </c>
      <c r="I31" s="13">
        <v>1</v>
      </c>
      <c r="J31" s="13" t="s">
        <v>145</v>
      </c>
      <c r="K31" s="65" t="s">
        <v>212</v>
      </c>
      <c r="L31" s="12"/>
      <c r="M31" s="12"/>
      <c r="N31" s="12"/>
      <c r="O31" s="25"/>
      <c r="P31" s="16"/>
      <c r="Q31" s="36"/>
      <c r="R31" s="12"/>
      <c r="S31" s="12"/>
      <c r="T31" s="12"/>
      <c r="U31" s="12"/>
      <c r="V31" s="14"/>
      <c r="W31" s="14"/>
      <c r="X31" s="12"/>
      <c r="Y31" s="12"/>
      <c r="Z31" s="36"/>
      <c r="AA31" s="36"/>
      <c r="AB31" s="36"/>
      <c r="AC31" s="36"/>
      <c r="AD31" s="39"/>
      <c r="AE31" s="12"/>
    </row>
    <row r="32" spans="1:31" s="2" customFormat="1" ht="28.8" x14ac:dyDescent="0.3">
      <c r="A32" s="11"/>
      <c r="B32" s="11"/>
      <c r="C32" s="12">
        <f t="shared" si="0"/>
        <v>8</v>
      </c>
      <c r="D32" s="12"/>
      <c r="E32" s="12" t="s">
        <v>165</v>
      </c>
      <c r="F32" s="12" t="s">
        <v>167</v>
      </c>
      <c r="G32" s="12"/>
      <c r="H32" s="12" t="s">
        <v>159</v>
      </c>
      <c r="I32" s="13">
        <v>2</v>
      </c>
      <c r="J32" s="13" t="s">
        <v>148</v>
      </c>
      <c r="K32" s="65" t="s">
        <v>216</v>
      </c>
      <c r="L32" s="12"/>
      <c r="M32" s="12"/>
      <c r="N32" s="12"/>
      <c r="O32" s="25"/>
      <c r="P32" s="16"/>
      <c r="Q32" s="36"/>
      <c r="R32" s="12"/>
      <c r="S32" s="12"/>
      <c r="T32" s="12"/>
      <c r="U32" s="12"/>
      <c r="V32" s="14"/>
      <c r="W32" s="14"/>
      <c r="X32" s="12"/>
      <c r="Y32" s="12"/>
      <c r="Z32" s="36"/>
      <c r="AA32" s="36"/>
      <c r="AB32" s="36"/>
      <c r="AC32" s="36"/>
      <c r="AD32" s="39"/>
      <c r="AE32" s="12"/>
    </row>
    <row r="33" spans="1:31" s="2" customFormat="1" ht="28.8" x14ac:dyDescent="0.3">
      <c r="A33" s="11"/>
      <c r="B33" s="11"/>
      <c r="C33" s="12">
        <f t="shared" si="0"/>
        <v>8</v>
      </c>
      <c r="D33" s="12"/>
      <c r="E33" s="12" t="s">
        <v>165</v>
      </c>
      <c r="F33" s="12" t="s">
        <v>167</v>
      </c>
      <c r="G33" s="12"/>
      <c r="H33" s="12" t="s">
        <v>159</v>
      </c>
      <c r="I33" s="13">
        <v>3</v>
      </c>
      <c r="J33" s="13" t="s">
        <v>150</v>
      </c>
      <c r="K33" s="65" t="s">
        <v>212</v>
      </c>
      <c r="L33" s="12"/>
      <c r="M33" s="12"/>
      <c r="N33" s="12"/>
      <c r="O33" s="25"/>
      <c r="P33" s="16"/>
      <c r="Q33" s="36"/>
      <c r="R33" s="12"/>
      <c r="S33" s="12"/>
      <c r="T33" s="12"/>
      <c r="U33" s="12"/>
      <c r="V33" s="14"/>
      <c r="W33" s="14"/>
      <c r="X33" s="12"/>
      <c r="Y33" s="12"/>
      <c r="Z33" s="36"/>
      <c r="AA33" s="36"/>
      <c r="AB33" s="36"/>
      <c r="AC33" s="36"/>
      <c r="AD33" s="39"/>
      <c r="AE33" s="12"/>
    </row>
    <row r="34" spans="1:31" s="2" customFormat="1" ht="28.8" x14ac:dyDescent="0.3">
      <c r="A34" s="11"/>
      <c r="B34" s="11"/>
      <c r="C34" s="12">
        <f t="shared" si="0"/>
        <v>8</v>
      </c>
      <c r="D34" s="12"/>
      <c r="E34" s="12" t="s">
        <v>165</v>
      </c>
      <c r="F34" s="12" t="s">
        <v>167</v>
      </c>
      <c r="G34" s="12"/>
      <c r="H34" s="12" t="s">
        <v>159</v>
      </c>
      <c r="I34" s="13">
        <v>4</v>
      </c>
      <c r="J34" s="13" t="s">
        <v>151</v>
      </c>
      <c r="K34" s="65" t="s">
        <v>217</v>
      </c>
      <c r="L34" s="12"/>
      <c r="M34" s="12"/>
      <c r="N34" s="12"/>
      <c r="O34" s="25"/>
      <c r="P34" s="16"/>
      <c r="Q34" s="36"/>
      <c r="R34" s="12"/>
      <c r="S34" s="12"/>
      <c r="T34" s="12"/>
      <c r="U34" s="12"/>
      <c r="V34" s="14"/>
      <c r="W34" s="14"/>
      <c r="X34" s="12"/>
      <c r="Y34" s="12"/>
      <c r="Z34" s="36"/>
      <c r="AA34" s="36"/>
      <c r="AB34" s="36"/>
      <c r="AC34" s="36"/>
      <c r="AD34" s="39"/>
      <c r="AE34" s="12"/>
    </row>
    <row r="35" spans="1:31" s="2" customFormat="1" ht="43.2" x14ac:dyDescent="0.3">
      <c r="A35" s="11">
        <f t="shared" ref="A35" si="15">IF(R35="P", 2,IF(R35="F",1,IF(R35="B",1,0)))</f>
        <v>0</v>
      </c>
      <c r="B35" s="11">
        <f t="shared" ref="B35" si="16">IF(AD35="Y", 2,IF(AD35="N",1,0))</f>
        <v>0</v>
      </c>
      <c r="C35" s="12">
        <f t="shared" si="0"/>
        <v>9</v>
      </c>
      <c r="D35" s="12" t="s">
        <v>153</v>
      </c>
      <c r="E35" s="12" t="s">
        <v>168</v>
      </c>
      <c r="F35" s="12" t="s">
        <v>169</v>
      </c>
      <c r="G35" s="12" t="s">
        <v>156</v>
      </c>
      <c r="H35" s="12"/>
      <c r="I35" s="13">
        <v>1</v>
      </c>
      <c r="J35" s="13" t="s">
        <v>145</v>
      </c>
      <c r="K35" s="65" t="s">
        <v>218</v>
      </c>
      <c r="L35" s="12"/>
      <c r="M35" s="12"/>
      <c r="N35" s="12"/>
      <c r="O35" s="25"/>
      <c r="P35" s="16"/>
      <c r="Q35" s="36"/>
      <c r="R35" s="12"/>
      <c r="S35" s="12"/>
      <c r="T35" s="12"/>
      <c r="U35" s="12"/>
      <c r="V35" s="14"/>
      <c r="W35" s="14"/>
      <c r="X35" s="12"/>
      <c r="Y35" s="12"/>
      <c r="Z35" s="36"/>
      <c r="AA35" s="36"/>
      <c r="AB35" s="36"/>
      <c r="AC35" s="36"/>
      <c r="AD35" s="39"/>
      <c r="AE35" s="12"/>
    </row>
    <row r="36" spans="1:31" s="2" customFormat="1" ht="28.8" x14ac:dyDescent="0.3">
      <c r="A36" s="11"/>
      <c r="B36" s="11"/>
      <c r="C36" s="12">
        <f t="shared" si="0"/>
        <v>9</v>
      </c>
      <c r="D36" s="12"/>
      <c r="E36" s="12" t="s">
        <v>168</v>
      </c>
      <c r="F36" s="12" t="s">
        <v>169</v>
      </c>
      <c r="G36" s="12"/>
      <c r="H36" s="12"/>
      <c r="I36" s="13">
        <v>2</v>
      </c>
      <c r="J36" s="13" t="s">
        <v>148</v>
      </c>
      <c r="K36" s="65" t="s">
        <v>219</v>
      </c>
      <c r="L36" s="12"/>
      <c r="M36" s="12"/>
      <c r="N36" s="12"/>
      <c r="O36" s="25"/>
      <c r="P36" s="16"/>
      <c r="Q36" s="36"/>
      <c r="R36" s="12"/>
      <c r="S36" s="12"/>
      <c r="T36" s="12"/>
      <c r="U36" s="12"/>
      <c r="V36" s="14"/>
      <c r="W36" s="14"/>
      <c r="X36" s="12"/>
      <c r="Y36" s="12"/>
      <c r="Z36" s="36"/>
      <c r="AA36" s="36"/>
      <c r="AB36" s="36"/>
      <c r="AC36" s="36"/>
      <c r="AD36" s="39"/>
      <c r="AE36" s="12"/>
    </row>
    <row r="37" spans="1:31" s="2" customFormat="1" ht="28.8" x14ac:dyDescent="0.3">
      <c r="A37" s="11"/>
      <c r="B37" s="11"/>
      <c r="C37" s="12">
        <f t="shared" si="0"/>
        <v>9</v>
      </c>
      <c r="D37" s="12"/>
      <c r="E37" s="12" t="s">
        <v>168</v>
      </c>
      <c r="F37" s="12" t="s">
        <v>169</v>
      </c>
      <c r="G37" s="12"/>
      <c r="H37" s="12"/>
      <c r="I37" s="13">
        <v>3</v>
      </c>
      <c r="J37" s="13" t="s">
        <v>150</v>
      </c>
      <c r="K37" s="65" t="s">
        <v>220</v>
      </c>
      <c r="L37" s="12"/>
      <c r="M37" s="12"/>
      <c r="N37" s="12"/>
      <c r="O37" s="25"/>
      <c r="P37" s="16"/>
      <c r="Q37" s="36"/>
      <c r="R37" s="12"/>
      <c r="S37" s="12"/>
      <c r="T37" s="12"/>
      <c r="U37" s="12"/>
      <c r="V37" s="14"/>
      <c r="W37" s="14"/>
      <c r="X37" s="12"/>
      <c r="Y37" s="12"/>
      <c r="Z37" s="36"/>
      <c r="AA37" s="36"/>
      <c r="AB37" s="36"/>
      <c r="AC37" s="36"/>
      <c r="AD37" s="39"/>
      <c r="AE37" s="12"/>
    </row>
    <row r="38" spans="1:31" s="2" customFormat="1" ht="28.8" x14ac:dyDescent="0.3">
      <c r="A38" s="11"/>
      <c r="B38" s="11"/>
      <c r="C38" s="12">
        <f t="shared" si="0"/>
        <v>9</v>
      </c>
      <c r="D38" s="12"/>
      <c r="E38" s="12" t="s">
        <v>168</v>
      </c>
      <c r="F38" s="12" t="s">
        <v>169</v>
      </c>
      <c r="G38" s="12"/>
      <c r="H38" s="12"/>
      <c r="I38" s="13">
        <v>4</v>
      </c>
      <c r="J38" s="13" t="s">
        <v>151</v>
      </c>
      <c r="K38" s="65" t="s">
        <v>221</v>
      </c>
      <c r="L38" s="12"/>
      <c r="M38" s="12"/>
      <c r="N38" s="12"/>
      <c r="O38" s="25"/>
      <c r="P38" s="16"/>
      <c r="Q38" s="36"/>
      <c r="R38" s="12"/>
      <c r="S38" s="12"/>
      <c r="T38" s="12"/>
      <c r="U38" s="12"/>
      <c r="V38" s="14"/>
      <c r="W38" s="14"/>
      <c r="X38" s="12"/>
      <c r="Y38" s="12"/>
      <c r="Z38" s="36"/>
      <c r="AA38" s="36"/>
      <c r="AB38" s="36"/>
      <c r="AC38" s="36"/>
      <c r="AD38" s="39"/>
      <c r="AE38" s="12"/>
    </row>
    <row r="39" spans="1:31" s="2" customFormat="1" ht="57.6" x14ac:dyDescent="0.3">
      <c r="A39" s="11">
        <f t="shared" ref="A39" si="17">IF(R39="P", 2,IF(R39="F",1,IF(R39="B",1,0)))</f>
        <v>0</v>
      </c>
      <c r="B39" s="11">
        <f t="shared" ref="B39" si="18">IF(AD39="Y", 2,IF(AD39="N",1,0))</f>
        <v>0</v>
      </c>
      <c r="C39" s="12">
        <f t="shared" si="0"/>
        <v>10</v>
      </c>
      <c r="D39" s="12" t="s">
        <v>69</v>
      </c>
      <c r="E39" s="12" t="s">
        <v>170</v>
      </c>
      <c r="F39" s="12" t="s">
        <v>171</v>
      </c>
      <c r="G39" s="12" t="s">
        <v>143</v>
      </c>
      <c r="H39" s="12" t="s">
        <v>172</v>
      </c>
      <c r="I39" s="13">
        <v>1</v>
      </c>
      <c r="J39" s="13" t="s">
        <v>145</v>
      </c>
      <c r="K39" s="12" t="s">
        <v>173</v>
      </c>
      <c r="L39" s="12"/>
      <c r="M39" s="12"/>
      <c r="N39" s="12" t="str">
        <f>IF(I39=1,
       D39 &amp; " / " &amp; E39 &amp; " / " &amp; TEXT(H39,"000") &amp; " _ " &amp; F39,
       N39)</f>
        <v>04. Actores / 4.1. Administración de Instituciones / TC073 _ Crear una nueva institución - Ingreso correcto de todos los campos del formulario</v>
      </c>
      <c r="O39" s="25"/>
      <c r="P39" s="16"/>
      <c r="Q39" s="36"/>
      <c r="R39" s="12"/>
      <c r="S39" s="12"/>
      <c r="T39" s="12"/>
      <c r="U39" s="12"/>
      <c r="V39" s="14"/>
      <c r="W39" s="14"/>
      <c r="X39" s="12"/>
      <c r="Y39" s="12"/>
      <c r="Z39" s="36"/>
      <c r="AA39" s="36"/>
      <c r="AB39" s="36"/>
      <c r="AC39" s="36"/>
      <c r="AD39" s="39"/>
      <c r="AE39" s="12"/>
    </row>
    <row r="40" spans="1:31" s="2" customFormat="1" ht="57.6" x14ac:dyDescent="0.3">
      <c r="A40" s="11"/>
      <c r="B40" s="11"/>
      <c r="C40" s="12">
        <f t="shared" si="0"/>
        <v>10</v>
      </c>
      <c r="D40" s="12"/>
      <c r="E40" s="12" t="s">
        <v>170</v>
      </c>
      <c r="F40" s="12" t="s">
        <v>171</v>
      </c>
      <c r="G40" s="12" t="s">
        <v>143</v>
      </c>
      <c r="H40" s="12" t="s">
        <v>172</v>
      </c>
      <c r="I40" s="13">
        <v>2</v>
      </c>
      <c r="J40" s="13" t="s">
        <v>150</v>
      </c>
      <c r="K40" s="12" t="s">
        <v>174</v>
      </c>
      <c r="L40" s="12"/>
      <c r="M40" s="12"/>
      <c r="N40" s="12" t="str">
        <f t="shared" ref="N40:N44" ca="1" si="19">IF(I40=1,
       D40 &amp; " / " &amp; E40 &amp; " / " &amp; TEXT(H40,"000") &amp; " _ " &amp; F40,
       N40)</f>
        <v>04. Actores / 4.1. Administración de Instituciones / TC073 _ Crear una nueva institución - Ingreso correcto de todos los campos del formulario</v>
      </c>
      <c r="O40" s="25"/>
      <c r="P40" s="16"/>
      <c r="Q40" s="36"/>
      <c r="R40" s="12"/>
      <c r="S40" s="12"/>
      <c r="T40" s="12"/>
      <c r="U40" s="12"/>
      <c r="V40" s="14"/>
      <c r="W40" s="14"/>
      <c r="X40" s="12"/>
      <c r="Y40" s="12"/>
      <c r="Z40" s="36"/>
      <c r="AA40" s="36"/>
      <c r="AB40" s="36"/>
      <c r="AC40" s="36"/>
      <c r="AD40" s="39"/>
      <c r="AE40" s="12"/>
    </row>
    <row r="41" spans="1:31" s="2" customFormat="1" ht="57.6" x14ac:dyDescent="0.3">
      <c r="A41" s="11"/>
      <c r="B41" s="11"/>
      <c r="C41" s="12">
        <f t="shared" si="0"/>
        <v>10</v>
      </c>
      <c r="D41" s="12"/>
      <c r="E41" s="12" t="s">
        <v>170</v>
      </c>
      <c r="F41" s="12" t="s">
        <v>171</v>
      </c>
      <c r="G41" s="12" t="s">
        <v>143</v>
      </c>
      <c r="H41" s="12" t="s">
        <v>172</v>
      </c>
      <c r="I41" s="13">
        <v>3</v>
      </c>
      <c r="J41" s="13" t="s">
        <v>148</v>
      </c>
      <c r="K41" s="12" t="s">
        <v>175</v>
      </c>
      <c r="L41" s="12"/>
      <c r="M41" s="12" t="s">
        <v>223</v>
      </c>
      <c r="N41" s="12" t="str">
        <f t="shared" ca="1" si="19"/>
        <v>04. Actores / 4.1. Administración de Instituciones / TC073 _ Crear una nueva institución - Ingreso correcto de todos los campos del formulario</v>
      </c>
      <c r="O41" s="25"/>
      <c r="P41" s="16"/>
      <c r="Q41" s="36"/>
      <c r="R41" s="12"/>
      <c r="S41" s="12"/>
      <c r="T41" s="12"/>
      <c r="U41" s="12"/>
      <c r="V41" s="14"/>
      <c r="W41" s="14"/>
      <c r="X41" s="12"/>
      <c r="Y41" s="12"/>
      <c r="Z41" s="36"/>
      <c r="AA41" s="36"/>
      <c r="AB41" s="36"/>
      <c r="AC41" s="36"/>
      <c r="AD41" s="39"/>
      <c r="AE41" s="12"/>
    </row>
    <row r="42" spans="1:31" s="2" customFormat="1" ht="57.6" x14ac:dyDescent="0.3">
      <c r="A42" s="11"/>
      <c r="B42" s="11"/>
      <c r="C42" s="12">
        <f t="shared" si="0"/>
        <v>10</v>
      </c>
      <c r="D42" s="12"/>
      <c r="E42" s="12" t="s">
        <v>170</v>
      </c>
      <c r="F42" s="12" t="s">
        <v>171</v>
      </c>
      <c r="G42" s="12" t="s">
        <v>143</v>
      </c>
      <c r="H42" s="12" t="s">
        <v>172</v>
      </c>
      <c r="I42" s="13">
        <v>4</v>
      </c>
      <c r="J42" s="13" t="s">
        <v>150</v>
      </c>
      <c r="K42" s="12" t="s">
        <v>176</v>
      </c>
      <c r="L42" s="12"/>
      <c r="M42" s="12"/>
      <c r="N42" s="12" t="str">
        <f t="shared" ca="1" si="19"/>
        <v>04. Actores / 4.1. Administración de Instituciones / TC073 _ Crear una nueva institución - Ingreso correcto de todos los campos del formulario</v>
      </c>
      <c r="O42" s="25"/>
      <c r="P42" s="16"/>
      <c r="Q42" s="36"/>
      <c r="R42" s="12"/>
      <c r="S42" s="12"/>
      <c r="T42" s="12"/>
      <c r="U42" s="12"/>
      <c r="V42" s="14"/>
      <c r="W42" s="14"/>
      <c r="X42" s="12"/>
      <c r="Y42" s="12"/>
      <c r="Z42" s="36"/>
      <c r="AA42" s="36"/>
      <c r="AB42" s="36"/>
      <c r="AC42" s="36"/>
      <c r="AD42" s="39"/>
      <c r="AE42" s="12"/>
    </row>
    <row r="43" spans="1:31" s="2" customFormat="1" ht="57.6" x14ac:dyDescent="0.3">
      <c r="A43" s="11"/>
      <c r="B43" s="11"/>
      <c r="C43" s="12">
        <f t="shared" si="0"/>
        <v>10</v>
      </c>
      <c r="D43" s="12"/>
      <c r="E43" s="12" t="s">
        <v>170</v>
      </c>
      <c r="F43" s="12" t="s">
        <v>171</v>
      </c>
      <c r="G43" s="12" t="s">
        <v>143</v>
      </c>
      <c r="H43" s="12" t="s">
        <v>172</v>
      </c>
      <c r="I43" s="13">
        <v>5</v>
      </c>
      <c r="J43" s="13" t="s">
        <v>150</v>
      </c>
      <c r="K43" s="12" t="s">
        <v>177</v>
      </c>
      <c r="L43" s="12"/>
      <c r="M43" s="12"/>
      <c r="N43" s="12" t="str">
        <f ca="1">IF(I43=1,
       D43 &amp; " / " &amp; E43 &amp; " / " &amp; TEXT(H43,"000") &amp; " _ " &amp; F43,
       N43)</f>
        <v>04. Actores / 4.1. Administración de Instituciones / TC073 _ Crear una nueva institución - Ingreso correcto de todos los campos del formulario</v>
      </c>
      <c r="O43" s="25"/>
      <c r="P43" s="16"/>
      <c r="Q43" s="36"/>
      <c r="R43" s="12"/>
      <c r="S43" s="12"/>
      <c r="T43" s="12"/>
      <c r="U43" s="12"/>
      <c r="V43" s="14"/>
      <c r="W43" s="14"/>
      <c r="X43" s="12"/>
      <c r="Y43" s="12"/>
      <c r="Z43" s="36"/>
      <c r="AA43" s="36"/>
      <c r="AB43" s="36"/>
      <c r="AC43" s="36"/>
      <c r="AD43" s="39"/>
      <c r="AE43" s="12"/>
    </row>
    <row r="44" spans="1:31" s="2" customFormat="1" ht="57.6" x14ac:dyDescent="0.3">
      <c r="A44" s="11"/>
      <c r="B44" s="11"/>
      <c r="C44" s="12">
        <f t="shared" si="0"/>
        <v>10</v>
      </c>
      <c r="D44" s="12"/>
      <c r="E44" s="12" t="s">
        <v>170</v>
      </c>
      <c r="F44" s="12" t="s">
        <v>171</v>
      </c>
      <c r="G44" s="12" t="s">
        <v>143</v>
      </c>
      <c r="H44" s="12" t="s">
        <v>172</v>
      </c>
      <c r="I44" s="13">
        <v>6</v>
      </c>
      <c r="J44" s="13" t="s">
        <v>150</v>
      </c>
      <c r="K44" s="12" t="s">
        <v>178</v>
      </c>
      <c r="L44" s="12"/>
      <c r="M44" s="12"/>
      <c r="N44" s="12" t="str">
        <f t="shared" ca="1" si="19"/>
        <v>04. Actores / 4.1. Administración de Instituciones / TC073 _ Crear una nueva institución - Ingreso correcto de todos los campos del formulario</v>
      </c>
      <c r="O44" s="25"/>
      <c r="P44" s="16"/>
      <c r="Q44" s="36"/>
      <c r="R44" s="12"/>
      <c r="S44" s="12"/>
      <c r="T44" s="12"/>
      <c r="U44" s="12"/>
      <c r="V44" s="14"/>
      <c r="W44" s="14"/>
      <c r="X44" s="12"/>
      <c r="Y44" s="12"/>
      <c r="Z44" s="36"/>
      <c r="AA44" s="36"/>
      <c r="AB44" s="36"/>
      <c r="AC44" s="36"/>
      <c r="AD44" s="39"/>
      <c r="AE44" s="12"/>
    </row>
    <row r="45" spans="1:31" s="2" customFormat="1" ht="57.6" x14ac:dyDescent="0.3">
      <c r="A45" s="11"/>
      <c r="B45" s="11"/>
      <c r="C45" s="12">
        <f t="shared" si="0"/>
        <v>10</v>
      </c>
      <c r="D45" s="12"/>
      <c r="E45" s="12" t="s">
        <v>170</v>
      </c>
      <c r="F45" s="12" t="s">
        <v>171</v>
      </c>
      <c r="G45" s="12" t="s">
        <v>143</v>
      </c>
      <c r="H45" s="12" t="s">
        <v>172</v>
      </c>
      <c r="I45" s="13">
        <v>7</v>
      </c>
      <c r="J45" s="13" t="s">
        <v>151</v>
      </c>
      <c r="K45" s="12"/>
      <c r="L45" s="12" t="s">
        <v>179</v>
      </c>
      <c r="M45" s="12"/>
      <c r="N45" s="12">
        <f ca="1">IF(I45=1,
       D45 &amp; " / " &amp; E45 &amp; " / " &amp; TEXT(H45,"000") &amp; " _ " &amp; F45,
       N45)</f>
        <v>0</v>
      </c>
      <c r="O45" s="25"/>
      <c r="P45" s="16"/>
      <c r="Q45" s="36"/>
      <c r="R45" s="12"/>
      <c r="S45" s="12"/>
      <c r="T45" s="12"/>
      <c r="U45" s="12"/>
      <c r="V45" s="14"/>
      <c r="W45" s="14"/>
      <c r="X45" s="12"/>
      <c r="Y45" s="12"/>
      <c r="Z45" s="36"/>
      <c r="AA45" s="36"/>
      <c r="AB45" s="36"/>
      <c r="AC45" s="36"/>
      <c r="AD45" s="39"/>
      <c r="AE45" s="12"/>
    </row>
    <row r="46" spans="1:31" s="2" customFormat="1" ht="15" thickBot="1" x14ac:dyDescent="0.35">
      <c r="A46" s="6"/>
      <c r="B46" s="7"/>
      <c r="C46" s="7"/>
      <c r="D46" s="8"/>
      <c r="E46" s="8"/>
      <c r="F46" s="8"/>
      <c r="G46" s="8"/>
      <c r="H46" s="8"/>
      <c r="I46" s="9"/>
      <c r="J46" s="9"/>
      <c r="K46" s="8"/>
      <c r="L46" s="8"/>
      <c r="M46" s="8"/>
      <c r="N46" s="8"/>
      <c r="O46" s="26"/>
      <c r="P46" s="17"/>
      <c r="Q46" s="37"/>
      <c r="R46" s="8"/>
      <c r="S46" s="8"/>
      <c r="T46" s="8"/>
      <c r="U46" s="8"/>
      <c r="V46" s="8"/>
      <c r="W46" s="8"/>
      <c r="X46" s="8"/>
      <c r="Y46" s="8"/>
      <c r="Z46" s="37"/>
      <c r="AA46" s="37"/>
      <c r="AB46" s="37"/>
      <c r="AC46" s="37"/>
      <c r="AD46" s="40"/>
      <c r="AE46" s="10"/>
    </row>
    <row r="64" spans="11:11" x14ac:dyDescent="0.3">
      <c r="K64" s="15"/>
    </row>
  </sheetData>
  <autoFilter ref="A2:AE46" xr:uid="{00000000-0009-0000-0000-000001000000}"/>
  <mergeCells count="4">
    <mergeCell ref="D1:F1"/>
    <mergeCell ref="K1:O1"/>
    <mergeCell ref="P1:Y1"/>
    <mergeCell ref="Z1:AE1"/>
  </mergeCells>
  <phoneticPr fontId="11" type="noConversion"/>
  <conditionalFormatting sqref="O3:AE3 A3:L45 M4:AE45">
    <cfRule type="expression" dxfId="0" priority="1">
      <formula>AND(LEN($H3)&gt;0,MOD($C3,2)=0)</formula>
    </cfRule>
  </conditionalFormatting>
  <dataValidations disablePrompts="1" count="4">
    <dataValidation type="list" allowBlank="1" showInputMessage="1" showErrorMessage="1" sqref="R46 AD2:AD46" xr:uid="{00000000-0002-0000-0100-000001000000}">
      <formula1>"Y,N"</formula1>
    </dataValidation>
    <dataValidation type="list" allowBlank="1" showInputMessage="1" showErrorMessage="1" sqref="X1:Y1 X3:Y1048576" xr:uid="{B837B414-3D96-467C-90FA-81EF04C5CA7C}">
      <formula1>"Yes,No"</formula1>
    </dataValidation>
    <dataValidation type="list" allowBlank="1" showInputMessage="1" showErrorMessage="1" sqref="R3:R45" xr:uid="{9AC41B7B-9BE2-41C4-8A9B-36763924EE96}">
      <formula1>"P,F,B"</formula1>
    </dataValidation>
    <dataValidation type="list" allowBlank="1" showInputMessage="1" showErrorMessage="1" sqref="U3:U46" xr:uid="{00000000-0002-0000-0100-000000000000}">
      <formula1>"High,Moderate,Low"</formula1>
    </dataValidation>
  </dataValidations>
  <pageMargins left="0.7" right="0.7" top="0.75" bottom="0.75" header="0.3" footer="0.3"/>
  <pageSetup scale="47" fitToHeight="0" pageOrder="overThenDown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0" id="{29FEC19E-B59B-4F55-9E1D-B91627231D8B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TrafficLights1" iconId="1"/>
              <x14:cfIcon iconSet="3TrafficLights1" iconId="0"/>
              <x14:cfIcon iconSet="3TrafficLights1" iconId="2"/>
            </x14:iconSet>
          </x14:cfRule>
          <xm:sqref>A3:B45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E720-65AB-476E-ACFE-91EC157D43E1}">
  <dimension ref="A1:F122"/>
  <sheetViews>
    <sheetView zoomScale="80" workbookViewId="0">
      <selection sqref="A1:F1"/>
    </sheetView>
  </sheetViews>
  <sheetFormatPr defaultRowHeight="14.4" x14ac:dyDescent="0.3"/>
  <cols>
    <col min="2" max="2" width="113.44140625" customWidth="1"/>
    <col min="3" max="3" width="66.33203125" customWidth="1"/>
    <col min="4" max="4" width="57.21875" bestFit="1" customWidth="1"/>
    <col min="5" max="5" width="22.5546875" customWidth="1"/>
    <col min="6" max="6" width="12.109375" customWidth="1"/>
  </cols>
  <sheetData>
    <row r="1" spans="1:6" x14ac:dyDescent="0.3">
      <c r="A1" t="s">
        <v>196</v>
      </c>
      <c r="B1" t="s">
        <v>197</v>
      </c>
      <c r="C1" t="s">
        <v>55</v>
      </c>
      <c r="D1" t="s">
        <v>198</v>
      </c>
      <c r="E1" t="s">
        <v>199</v>
      </c>
      <c r="F1" t="s">
        <v>200</v>
      </c>
    </row>
    <row r="2" spans="1:6" x14ac:dyDescent="0.3">
      <c r="B2" t="str">
        <f>_xlfn.CONCAT('Test Suite'!E3," / ",'Test Suite'!H3,"_",'Test Suite'!F3)</f>
        <v>1.1. Reporte de instalación para el sistema / TC000_Instalar el sistema en los ambientes definidos.</v>
      </c>
      <c r="D2" t="str">
        <f>_xlfn.CONCAT('Test Suite'!J3," ",'Test Suite'!K3)</f>
        <v xml:space="preserve">Given Prerequisites:
</v>
      </c>
      <c r="E2" t="str">
        <f>IF('Test Suite'!L3="","",'Test Suite'!L3)</f>
        <v/>
      </c>
      <c r="F2" t="e">
        <f>IF('Test Suite'!#REF!="","",'Test Suite'!#REF!)</f>
        <v>#REF!</v>
      </c>
    </row>
    <row r="3" spans="1:6" x14ac:dyDescent="0.3">
      <c r="B3" t="str">
        <f>_xlfn.CONCAT('Test Suite'!E4," / ",'Test Suite'!H4,"_",'Test Suite'!F4)</f>
        <v>1.1. Reporte de instalación para el sistema / TC000_Instalar el sistema en los ambientes definidos.</v>
      </c>
      <c r="D3" t="str">
        <f>_xlfn.CONCAT('Test Suite'!J4," ",'Test Suite'!K4)</f>
        <v>When Second step input.</v>
      </c>
      <c r="E3" t="str">
        <f>IF('Test Suite'!L4="","",'Test Suite'!L4)</f>
        <v/>
      </c>
      <c r="F3" t="e">
        <f>IF('Test Suite'!#REF!="","",'Test Suite'!#REF!)</f>
        <v>#REF!</v>
      </c>
    </row>
    <row r="4" spans="1:6" x14ac:dyDescent="0.3">
      <c r="B4" t="str">
        <f>_xlfn.CONCAT('Test Suite'!E5," / ",'Test Suite'!H5,"_",'Test Suite'!F5)</f>
        <v>1.1. Reporte de instalación para el sistema / TC000_Instalar el sistema en los ambientes definidos.</v>
      </c>
      <c r="D4" t="str">
        <f>_xlfn.CONCAT('Test Suite'!J5," ",'Test Suite'!K5)</f>
        <v>And 3</v>
      </c>
      <c r="E4" t="str">
        <f>IF('Test Suite'!L5="","",'Test Suite'!L5)</f>
        <v/>
      </c>
      <c r="F4" t="e">
        <f>IF('Test Suite'!#REF!="","",'Test Suite'!#REF!)</f>
        <v>#REF!</v>
      </c>
    </row>
    <row r="5" spans="1:6" x14ac:dyDescent="0.3">
      <c r="B5" t="str">
        <f>_xlfn.CONCAT('Test Suite'!E6," / ",'Test Suite'!H6,"_",'Test Suite'!F6)</f>
        <v>1.1. Reporte de instalación para el sistema / TC000_Instalar el sistema en los ambientes definidos.</v>
      </c>
      <c r="D5" t="str">
        <f>_xlfn.CONCAT('Test Suite'!J6," ",'Test Suite'!K6)</f>
        <v>Then 4</v>
      </c>
      <c r="E5" t="str">
        <f>IF('Test Suite'!L6="","",'Test Suite'!L6)</f>
        <v>Test case output.</v>
      </c>
      <c r="F5" t="e">
        <f>IF('Test Suite'!#REF!="","",'Test Suite'!#REF!)</f>
        <v>#REF!</v>
      </c>
    </row>
    <row r="6" spans="1:6" x14ac:dyDescent="0.3">
      <c r="B6" t="str">
        <f>_xlfn.CONCAT('Test Suite'!E7," / ",'Test Suite'!H7,"_",'Test Suite'!F7)</f>
        <v>2.1. Cabecera superior / TC001_Redireccionar hacia la página principal</v>
      </c>
      <c r="D6" t="str">
        <f>_xlfn.CONCAT('Test Suite'!J7," ",'Test Suite'!K7)</f>
        <v>Given 6</v>
      </c>
      <c r="E6" t="str">
        <f>IF('Test Suite'!L7="","",'Test Suite'!L7)</f>
        <v/>
      </c>
      <c r="F6" t="e">
        <f>IF('Test Suite'!#REF!="","",'Test Suite'!#REF!)</f>
        <v>#REF!</v>
      </c>
    </row>
    <row r="7" spans="1:6" x14ac:dyDescent="0.3">
      <c r="B7" t="str">
        <f>_xlfn.CONCAT('Test Suite'!E8," / ",'Test Suite'!H8,"_",'Test Suite'!F8)</f>
        <v>2.1. Cabecera superior / TC001_Redireccionar hacia la página principal</v>
      </c>
      <c r="D7" t="str">
        <f>_xlfn.CONCAT('Test Suite'!J8," ",'Test Suite'!K8)</f>
        <v>When q</v>
      </c>
      <c r="E7" t="str">
        <f>IF('Test Suite'!L8="","",'Test Suite'!L8)</f>
        <v/>
      </c>
      <c r="F7" t="e">
        <f>IF('Test Suite'!#REF!="","",'Test Suite'!#REF!)</f>
        <v>#REF!</v>
      </c>
    </row>
    <row r="8" spans="1:6" x14ac:dyDescent="0.3">
      <c r="B8" t="str">
        <f>_xlfn.CONCAT('Test Suite'!E9," / ",'Test Suite'!H9,"_",'Test Suite'!F9)</f>
        <v>2.1. Cabecera superior / TC001_Redireccionar hacia la página principal</v>
      </c>
      <c r="D8" t="str">
        <f>_xlfn.CONCAT('Test Suite'!J9," ",'Test Suite'!K9)</f>
        <v>And daf</v>
      </c>
      <c r="E8" t="str">
        <f>IF('Test Suite'!L9="","",'Test Suite'!L9)</f>
        <v/>
      </c>
      <c r="F8" t="e">
        <f>IF('Test Suite'!#REF!="","",'Test Suite'!#REF!)</f>
        <v>#REF!</v>
      </c>
    </row>
    <row r="9" spans="1:6" x14ac:dyDescent="0.3">
      <c r="B9" t="str">
        <f>_xlfn.CONCAT('Test Suite'!E10," / ",'Test Suite'!H10,"_",'Test Suite'!F10)</f>
        <v>2.1. Cabecera superior / TC001_Redireccionar hacia la página principal</v>
      </c>
      <c r="D9" t="str">
        <f>_xlfn.CONCAT('Test Suite'!J10," ",'Test Suite'!K10)</f>
        <v>Then adg</v>
      </c>
      <c r="E9" t="str">
        <f>IF('Test Suite'!L10="","",'Test Suite'!L10)</f>
        <v/>
      </c>
      <c r="F9" t="e">
        <f>IF('Test Suite'!#REF!="","",'Test Suite'!#REF!)</f>
        <v>#REF!</v>
      </c>
    </row>
    <row r="10" spans="1:6" x14ac:dyDescent="0.3">
      <c r="B10" t="str">
        <f>_xlfn.CONCAT('Test Suite'!E11," / ",'Test Suite'!H11,"_",'Test Suite'!F11)</f>
        <v>2.1. Cabecera superior / TC002_Redireccionar hacia las Nuevas Alertas</v>
      </c>
      <c r="D10" t="str">
        <f>_xlfn.CONCAT('Test Suite'!J11," ",'Test Suite'!K11)</f>
        <v>Given wr</v>
      </c>
      <c r="E10" t="str">
        <f>IF('Test Suite'!L11="","",'Test Suite'!L11)</f>
        <v/>
      </c>
      <c r="F10" t="e">
        <f>IF('Test Suite'!#REF!="","",'Test Suite'!#REF!)</f>
        <v>#REF!</v>
      </c>
    </row>
    <row r="11" spans="1:6" x14ac:dyDescent="0.3">
      <c r="B11" t="str">
        <f>_xlfn.CONCAT('Test Suite'!E12," / ",'Test Suite'!H12,"_",'Test Suite'!F12)</f>
        <v>2.1. Cabecera superior / TC002_Redireccionar hacia las Nuevas Alertas</v>
      </c>
      <c r="D11" t="str">
        <f>_xlfn.CONCAT('Test Suite'!J12," ",'Test Suite'!K12)</f>
        <v>When df</v>
      </c>
      <c r="E11" t="str">
        <f>IF('Test Suite'!L12="","",'Test Suite'!L12)</f>
        <v/>
      </c>
      <c r="F11" t="e">
        <f>IF('Test Suite'!#REF!="","",'Test Suite'!#REF!)</f>
        <v>#REF!</v>
      </c>
    </row>
    <row r="12" spans="1:6" x14ac:dyDescent="0.3">
      <c r="B12" t="str">
        <f>_xlfn.CONCAT('Test Suite'!E13," / ",'Test Suite'!H13,"_",'Test Suite'!F13)</f>
        <v>2.1. Cabecera superior / TC002_Redireccionar hacia las Nuevas Alertas</v>
      </c>
      <c r="D12" t="str">
        <f>_xlfn.CONCAT('Test Suite'!J13," ",'Test Suite'!K13)</f>
        <v>And dfaf</v>
      </c>
      <c r="E12" t="str">
        <f>IF('Test Suite'!L13="","",'Test Suite'!L13)</f>
        <v/>
      </c>
      <c r="F12" t="e">
        <f>IF('Test Suite'!#REF!="","",'Test Suite'!#REF!)</f>
        <v>#REF!</v>
      </c>
    </row>
    <row r="13" spans="1:6" x14ac:dyDescent="0.3">
      <c r="B13" t="str">
        <f>_xlfn.CONCAT('Test Suite'!E14," / ",'Test Suite'!H14,"_",'Test Suite'!F14)</f>
        <v>2.1. Cabecera superior / TC002_Redireccionar hacia las Nuevas Alertas</v>
      </c>
      <c r="D13" t="str">
        <f>_xlfn.CONCAT('Test Suite'!J14," ",'Test Suite'!K14)</f>
        <v>Then afda</v>
      </c>
      <c r="E13" t="str">
        <f>IF('Test Suite'!L14="","",'Test Suite'!L14)</f>
        <v/>
      </c>
      <c r="F13" t="e">
        <f>IF('Test Suite'!#REF!="","",'Test Suite'!#REF!)</f>
        <v>#REF!</v>
      </c>
    </row>
    <row r="14" spans="1:6" x14ac:dyDescent="0.3">
      <c r="B14" t="str">
        <f>_xlfn.CONCAT('Test Suite'!E15," / ",'Test Suite'!H15,"_",'Test Suite'!F15)</f>
        <v>2.1. Cabecera superior / TC003_Cerrar sesión</v>
      </c>
      <c r="D14" t="str">
        <f>_xlfn.CONCAT('Test Suite'!J15," ",'Test Suite'!K15)</f>
        <v>Given afda</v>
      </c>
      <c r="E14" t="str">
        <f>IF('Test Suite'!L15="","",'Test Suite'!L15)</f>
        <v/>
      </c>
      <c r="F14" t="e">
        <f>IF('Test Suite'!#REF!="","",'Test Suite'!#REF!)</f>
        <v>#REF!</v>
      </c>
    </row>
    <row r="15" spans="1:6" x14ac:dyDescent="0.3">
      <c r="B15" t="str">
        <f>_xlfn.CONCAT('Test Suite'!E16," / ",'Test Suite'!H16,"_",'Test Suite'!F16)</f>
        <v>2.1. Cabecera superior / TC003_Cerrar sesión</v>
      </c>
      <c r="D15" t="str">
        <f>_xlfn.CONCAT('Test Suite'!J16," ",'Test Suite'!K16)</f>
        <v>When afda</v>
      </c>
      <c r="E15" t="str">
        <f>IF('Test Suite'!L16="","",'Test Suite'!L16)</f>
        <v/>
      </c>
      <c r="F15" t="e">
        <f>IF('Test Suite'!#REF!="","",'Test Suite'!#REF!)</f>
        <v>#REF!</v>
      </c>
    </row>
    <row r="16" spans="1:6" x14ac:dyDescent="0.3">
      <c r="B16" t="str">
        <f>_xlfn.CONCAT('Test Suite'!E17," / ",'Test Suite'!H17,"_",'Test Suite'!F17)</f>
        <v>2.1. Cabecera superior / TC003_Cerrar sesión</v>
      </c>
      <c r="D16" t="str">
        <f>_xlfn.CONCAT('Test Suite'!J17," ",'Test Suite'!K17)</f>
        <v>And fad</v>
      </c>
      <c r="E16" t="str">
        <f>IF('Test Suite'!L17="","",'Test Suite'!L17)</f>
        <v/>
      </c>
      <c r="F16" t="e">
        <f>IF('Test Suite'!#REF!="","",'Test Suite'!#REF!)</f>
        <v>#REF!</v>
      </c>
    </row>
    <row r="17" spans="2:6" x14ac:dyDescent="0.3">
      <c r="B17" t="str">
        <f>_xlfn.CONCAT('Test Suite'!E18," / ",'Test Suite'!H18,"_",'Test Suite'!F18)</f>
        <v>2.1. Cabecera superior / TC003_Cerrar sesión</v>
      </c>
      <c r="D17" t="str">
        <f>_xlfn.CONCAT('Test Suite'!J18," ",'Test Suite'!K18)</f>
        <v>Then fad</v>
      </c>
      <c r="E17" t="str">
        <f>IF('Test Suite'!L18="","",'Test Suite'!L18)</f>
        <v/>
      </c>
      <c r="F17" t="e">
        <f>IF('Test Suite'!#REF!="","",'Test Suite'!#REF!)</f>
        <v>#REF!</v>
      </c>
    </row>
    <row r="18" spans="2:6" x14ac:dyDescent="0.3">
      <c r="B18" t="str">
        <f>_xlfn.CONCAT('Test Suite'!E19," / ",'Test Suite'!H19,"_",'Test Suite'!F19)</f>
        <v>2.2. Página principal de Inicio / TC001_Visualizar el Horario Diario</v>
      </c>
      <c r="D18" t="str">
        <f>_xlfn.CONCAT('Test Suite'!J19," ",'Test Suite'!K19)</f>
        <v>Given fad</v>
      </c>
      <c r="E18" t="str">
        <f>IF('Test Suite'!L19="","",'Test Suite'!L19)</f>
        <v/>
      </c>
      <c r="F18" t="e">
        <f>IF('Test Suite'!#REF!="","",'Test Suite'!#REF!)</f>
        <v>#REF!</v>
      </c>
    </row>
    <row r="19" spans="2:6" x14ac:dyDescent="0.3">
      <c r="B19" t="str">
        <f>_xlfn.CONCAT('Test Suite'!E20," / ",'Test Suite'!H20,"_",'Test Suite'!F20)</f>
        <v>2.2. Página principal de Inicio / TC001_Visualizar el Horario Diario</v>
      </c>
      <c r="D19" t="str">
        <f>_xlfn.CONCAT('Test Suite'!J20," ",'Test Suite'!K20)</f>
        <v>When adf</v>
      </c>
      <c r="E19" t="str">
        <f>IF('Test Suite'!L20="","",'Test Suite'!L20)</f>
        <v/>
      </c>
      <c r="F19" t="e">
        <f>IF('Test Suite'!#REF!="","",'Test Suite'!#REF!)</f>
        <v>#REF!</v>
      </c>
    </row>
    <row r="20" spans="2:6" x14ac:dyDescent="0.3">
      <c r="B20" t="str">
        <f>_xlfn.CONCAT('Test Suite'!E21," / ",'Test Suite'!H21,"_",'Test Suite'!F21)</f>
        <v>2.2. Página principal de Inicio / TC001_Visualizar el Horario Diario</v>
      </c>
      <c r="D20" t="str">
        <f>_xlfn.CONCAT('Test Suite'!J21," ",'Test Suite'!K21)</f>
        <v>And adf</v>
      </c>
      <c r="E20" t="str">
        <f>IF('Test Suite'!L21="","",'Test Suite'!L21)</f>
        <v/>
      </c>
      <c r="F20" t="e">
        <f>IF('Test Suite'!#REF!="","",'Test Suite'!#REF!)</f>
        <v>#REF!</v>
      </c>
    </row>
    <row r="21" spans="2:6" x14ac:dyDescent="0.3">
      <c r="B21" t="str">
        <f>_xlfn.CONCAT('Test Suite'!E22," / ",'Test Suite'!H22,"_",'Test Suite'!F22)</f>
        <v>2.2. Página principal de Inicio / TC001_Visualizar el Horario Diario</v>
      </c>
      <c r="D21" t="str">
        <f>_xlfn.CONCAT('Test Suite'!J22," ",'Test Suite'!K22)</f>
        <v>Then ad</v>
      </c>
      <c r="E21" t="str">
        <f>IF('Test Suite'!L22="","",'Test Suite'!L22)</f>
        <v/>
      </c>
      <c r="F21" t="e">
        <f>IF('Test Suite'!#REF!="","",'Test Suite'!#REF!)</f>
        <v>#REF!</v>
      </c>
    </row>
    <row r="22" spans="2:6" x14ac:dyDescent="0.3">
      <c r="B22" t="str">
        <f>_xlfn.CONCAT('Test Suite'!E23," / ",'Test Suite'!H23,"_",'Test Suite'!F23)</f>
        <v>2.2. Página principal de Inicio / TC002_Visualizar entidades en Espera de Aprobación</v>
      </c>
      <c r="D22" t="str">
        <f>_xlfn.CONCAT('Test Suite'!J23," ",'Test Suite'!K23)</f>
        <v>Given fad</v>
      </c>
      <c r="E22" t="str">
        <f>IF('Test Suite'!L23="","",'Test Suite'!L23)</f>
        <v/>
      </c>
      <c r="F22" t="e">
        <f>IF('Test Suite'!#REF!="","",'Test Suite'!#REF!)</f>
        <v>#REF!</v>
      </c>
    </row>
    <row r="23" spans="2:6" x14ac:dyDescent="0.3">
      <c r="B23" t="str">
        <f>_xlfn.CONCAT('Test Suite'!E24," / ",'Test Suite'!H24,"_",'Test Suite'!F24)</f>
        <v>2.2. Página principal de Inicio / TC002_Visualizar entidades en Espera de Aprobación</v>
      </c>
      <c r="D23" t="str">
        <f>_xlfn.CONCAT('Test Suite'!J24," ",'Test Suite'!K24)</f>
        <v>When fad</v>
      </c>
      <c r="E23" t="str">
        <f>IF('Test Suite'!L24="","",'Test Suite'!L24)</f>
        <v/>
      </c>
      <c r="F23" t="e">
        <f>IF('Test Suite'!#REF!="","",'Test Suite'!#REF!)</f>
        <v>#REF!</v>
      </c>
    </row>
    <row r="24" spans="2:6" x14ac:dyDescent="0.3">
      <c r="B24" t="str">
        <f>_xlfn.CONCAT('Test Suite'!E25," / ",'Test Suite'!H25,"_",'Test Suite'!F25)</f>
        <v>2.2. Página principal de Inicio / TC002_Visualizar entidades en Espera de Aprobación</v>
      </c>
      <c r="D24" t="str">
        <f>_xlfn.CONCAT('Test Suite'!J25," ",'Test Suite'!K25)</f>
        <v>And a</v>
      </c>
      <c r="E24" t="str">
        <f>IF('Test Suite'!L25="","",'Test Suite'!L25)</f>
        <v/>
      </c>
      <c r="F24" t="e">
        <f>IF('Test Suite'!#REF!="","",'Test Suite'!#REF!)</f>
        <v>#REF!</v>
      </c>
    </row>
    <row r="25" spans="2:6" x14ac:dyDescent="0.3">
      <c r="B25" t="str">
        <f>_xlfn.CONCAT('Test Suite'!E26," / ",'Test Suite'!H26,"_",'Test Suite'!F26)</f>
        <v>2.2. Página principal de Inicio / TC002_Visualizar entidades en Espera de Aprobación</v>
      </c>
      <c r="D25" t="str">
        <f>_xlfn.CONCAT('Test Suite'!J26," ",'Test Suite'!K26)</f>
        <v>Then fad</v>
      </c>
      <c r="E25" t="str">
        <f>IF('Test Suite'!L26="","",'Test Suite'!L26)</f>
        <v/>
      </c>
      <c r="F25" t="e">
        <f>IF('Test Suite'!#REF!="","",'Test Suite'!#REF!)</f>
        <v>#REF!</v>
      </c>
    </row>
    <row r="26" spans="2:6" x14ac:dyDescent="0.3">
      <c r="B26" t="str">
        <f>_xlfn.CONCAT('Test Suite'!E27," / ",'Test Suite'!H27,"_",'Test Suite'!F27)</f>
        <v>2.3. Menú / TC001_Acceder a las opciones de menú y sub-menús</v>
      </c>
      <c r="D26" t="str">
        <f>_xlfn.CONCAT('Test Suite'!J27," ",'Test Suite'!K27)</f>
        <v>Given gr</v>
      </c>
      <c r="E26" t="str">
        <f>IF('Test Suite'!L27="","",'Test Suite'!L27)</f>
        <v/>
      </c>
      <c r="F26" t="e">
        <f>IF('Test Suite'!#REF!="","",'Test Suite'!#REF!)</f>
        <v>#REF!</v>
      </c>
    </row>
    <row r="27" spans="2:6" x14ac:dyDescent="0.3">
      <c r="B27" t="str">
        <f>_xlfn.CONCAT('Test Suite'!E28," / ",'Test Suite'!H28,"_",'Test Suite'!F28)</f>
        <v>2.3. Menú / TC001_Acceder a las opciones de menú y sub-menús</v>
      </c>
      <c r="D27" t="str">
        <f>_xlfn.CONCAT('Test Suite'!J28," ",'Test Suite'!K28)</f>
        <v>When ga</v>
      </c>
      <c r="E27" t="str">
        <f>IF('Test Suite'!L28="","",'Test Suite'!L28)</f>
        <v/>
      </c>
      <c r="F27" t="e">
        <f>IF('Test Suite'!#REF!="","",'Test Suite'!#REF!)</f>
        <v>#REF!</v>
      </c>
    </row>
    <row r="28" spans="2:6" x14ac:dyDescent="0.3">
      <c r="B28" t="str">
        <f>_xlfn.CONCAT('Test Suite'!E29," / ",'Test Suite'!H29,"_",'Test Suite'!F29)</f>
        <v>2.3. Menú / TC001_Acceder a las opciones de menú y sub-menús</v>
      </c>
      <c r="D28" t="str">
        <f>_xlfn.CONCAT('Test Suite'!J29," ",'Test Suite'!K29)</f>
        <v>And fad</v>
      </c>
      <c r="E28" t="str">
        <f>IF('Test Suite'!L29="","",'Test Suite'!L29)</f>
        <v/>
      </c>
      <c r="F28" t="e">
        <f>IF('Test Suite'!#REF!="","",'Test Suite'!#REF!)</f>
        <v>#REF!</v>
      </c>
    </row>
    <row r="29" spans="2:6" x14ac:dyDescent="0.3">
      <c r="B29" t="str">
        <f>_xlfn.CONCAT('Test Suite'!E30," / ",'Test Suite'!H30,"_",'Test Suite'!F30)</f>
        <v>2.3. Menú / TC001_Acceder a las opciones de menú y sub-menús</v>
      </c>
      <c r="D29" t="str">
        <f>_xlfn.CONCAT('Test Suite'!J30," ",'Test Suite'!K30)</f>
        <v>Then eg</v>
      </c>
      <c r="E29" t="str">
        <f>IF('Test Suite'!L30="","",'Test Suite'!L30)</f>
        <v/>
      </c>
      <c r="F29" t="e">
        <f>IF('Test Suite'!#REF!="","",'Test Suite'!#REF!)</f>
        <v>#REF!</v>
      </c>
    </row>
    <row r="30" spans="2:6" x14ac:dyDescent="0.3">
      <c r="B30" t="str">
        <f>_xlfn.CONCAT('Test Suite'!E31," / ",'Test Suite'!H31,"_",'Test Suite'!F31)</f>
        <v>2.3. Menú / TC002_Buscar menús y/o sub-menús</v>
      </c>
      <c r="D30" t="str">
        <f>_xlfn.CONCAT('Test Suite'!J31," ",'Test Suite'!K31)</f>
        <v>Given a</v>
      </c>
      <c r="E30" t="str">
        <f>IF('Test Suite'!L31="","",'Test Suite'!L31)</f>
        <v/>
      </c>
      <c r="F30" t="e">
        <f>IF('Test Suite'!#REF!="","",'Test Suite'!#REF!)</f>
        <v>#REF!</v>
      </c>
    </row>
    <row r="31" spans="2:6" x14ac:dyDescent="0.3">
      <c r="B31" t="str">
        <f>_xlfn.CONCAT('Test Suite'!E32," / ",'Test Suite'!H32,"_",'Test Suite'!F32)</f>
        <v>2.3. Menú / TC002_Buscar menús y/o sub-menús</v>
      </c>
      <c r="D31" t="str">
        <f>_xlfn.CONCAT('Test Suite'!J32," ",'Test Suite'!K32)</f>
        <v>When sd</v>
      </c>
      <c r="E31" t="str">
        <f>IF('Test Suite'!L32="","",'Test Suite'!L32)</f>
        <v/>
      </c>
      <c r="F31" t="e">
        <f>IF('Test Suite'!#REF!="","",'Test Suite'!#REF!)</f>
        <v>#REF!</v>
      </c>
    </row>
    <row r="32" spans="2:6" x14ac:dyDescent="0.3">
      <c r="B32" t="str">
        <f>_xlfn.CONCAT('Test Suite'!E33," / ",'Test Suite'!H33,"_",'Test Suite'!F33)</f>
        <v>2.3. Menú / TC002_Buscar menús y/o sub-menús</v>
      </c>
      <c r="D32" t="str">
        <f>_xlfn.CONCAT('Test Suite'!J33," ",'Test Suite'!K33)</f>
        <v>And a</v>
      </c>
      <c r="E32" t="str">
        <f>IF('Test Suite'!L33="","",'Test Suite'!L33)</f>
        <v/>
      </c>
      <c r="F32" t="e">
        <f>IF('Test Suite'!#REF!="","",'Test Suite'!#REF!)</f>
        <v>#REF!</v>
      </c>
    </row>
    <row r="33" spans="2:6" x14ac:dyDescent="0.3">
      <c r="B33" t="str">
        <f>_xlfn.CONCAT('Test Suite'!E34," / ",'Test Suite'!H34,"_",'Test Suite'!F34)</f>
        <v>2.3. Menú / TC002_Buscar menús y/o sub-menús</v>
      </c>
      <c r="D33" t="str">
        <f>_xlfn.CONCAT('Test Suite'!J34," ",'Test Suite'!K34)</f>
        <v>Then g</v>
      </c>
      <c r="E33" t="str">
        <f>IF('Test Suite'!L34="","",'Test Suite'!L34)</f>
        <v/>
      </c>
      <c r="F33" t="e">
        <f>IF('Test Suite'!#REF!="","",'Test Suite'!#REF!)</f>
        <v>#REF!</v>
      </c>
    </row>
    <row r="34" spans="2:6" x14ac:dyDescent="0.3">
      <c r="B34" t="str">
        <f>_xlfn.CONCAT('Test Suite'!E35," / ",'Test Suite'!H35,"_",'Test Suite'!F35)</f>
        <v>2.4. Listar / _Verificar visualización de la sección Buscar</v>
      </c>
      <c r="D34" t="str">
        <f>_xlfn.CONCAT('Test Suite'!J35," ",'Test Suite'!K35)</f>
        <v>Given s</v>
      </c>
      <c r="E34" t="str">
        <f>IF('Test Suite'!L35="","",'Test Suite'!L35)</f>
        <v/>
      </c>
      <c r="F34" t="e">
        <f>IF('Test Suite'!#REF!="","",'Test Suite'!#REF!)</f>
        <v>#REF!</v>
      </c>
    </row>
    <row r="35" spans="2:6" x14ac:dyDescent="0.3">
      <c r="B35" t="str">
        <f>_xlfn.CONCAT('Test Suite'!E36," / ",'Test Suite'!H36,"_",'Test Suite'!F36)</f>
        <v>2.4. Listar / _Verificar visualización de la sección Buscar</v>
      </c>
      <c r="D35" t="str">
        <f>_xlfn.CONCAT('Test Suite'!J36," ",'Test Suite'!K36)</f>
        <v>When ge</v>
      </c>
      <c r="E35" t="str">
        <f>IF('Test Suite'!L36="","",'Test Suite'!L36)</f>
        <v/>
      </c>
      <c r="F35" t="e">
        <f>IF('Test Suite'!#REF!="","",'Test Suite'!#REF!)</f>
        <v>#REF!</v>
      </c>
    </row>
    <row r="36" spans="2:6" x14ac:dyDescent="0.3">
      <c r="B36" t="str">
        <f>_xlfn.CONCAT('Test Suite'!E37," / ",'Test Suite'!H37,"_",'Test Suite'!F37)</f>
        <v>2.4. Listar / _Verificar visualización de la sección Buscar</v>
      </c>
      <c r="D36" t="str">
        <f>_xlfn.CONCAT('Test Suite'!J37," ",'Test Suite'!K37)</f>
        <v>And ca</v>
      </c>
      <c r="E36" t="str">
        <f>IF('Test Suite'!L37="","",'Test Suite'!L37)</f>
        <v/>
      </c>
      <c r="F36" t="e">
        <f>IF('Test Suite'!#REF!="","",'Test Suite'!#REF!)</f>
        <v>#REF!</v>
      </c>
    </row>
    <row r="37" spans="2:6" x14ac:dyDescent="0.3">
      <c r="B37" t="str">
        <f>_xlfn.CONCAT('Test Suite'!E38," / ",'Test Suite'!H38,"_",'Test Suite'!F38)</f>
        <v>2.4. Listar / _Verificar visualización de la sección Buscar</v>
      </c>
      <c r="D37" t="str">
        <f>_xlfn.CONCAT('Test Suite'!J38," ",'Test Suite'!K38)</f>
        <v>Then eer</v>
      </c>
      <c r="E37" t="str">
        <f>IF('Test Suite'!L38="","",'Test Suite'!L38)</f>
        <v/>
      </c>
      <c r="F37" t="e">
        <f>IF('Test Suite'!#REF!="","",'Test Suite'!#REF!)</f>
        <v>#REF!</v>
      </c>
    </row>
    <row r="38" spans="2:6" x14ac:dyDescent="0.3">
      <c r="B38" t="e">
        <f>_xlfn.CONCAT('Test Suite'!#REF!," / ",'Test Suite'!#REF!,"_",'Test Suite'!#REF!)</f>
        <v>#REF!</v>
      </c>
      <c r="D38" t="e">
        <f>_xlfn.CONCAT('Test Suite'!#REF!," ",'Test Suite'!#REF!)</f>
        <v>#REF!</v>
      </c>
      <c r="E38" t="e">
        <f>IF('Test Suite'!#REF!="","",'Test Suite'!#REF!)</f>
        <v>#REF!</v>
      </c>
      <c r="F38" t="e">
        <f>IF('Test Suite'!#REF!="","",'Test Suite'!#REF!)</f>
        <v>#REF!</v>
      </c>
    </row>
    <row r="39" spans="2:6" x14ac:dyDescent="0.3">
      <c r="B39" t="e">
        <f>_xlfn.CONCAT('Test Suite'!#REF!," / ",'Test Suite'!#REF!,"_",'Test Suite'!#REF!)</f>
        <v>#REF!</v>
      </c>
      <c r="D39" t="e">
        <f>_xlfn.CONCAT('Test Suite'!#REF!," ",'Test Suite'!#REF!)</f>
        <v>#REF!</v>
      </c>
      <c r="E39" t="e">
        <f>IF('Test Suite'!#REF!="","",'Test Suite'!#REF!)</f>
        <v>#REF!</v>
      </c>
      <c r="F39" t="e">
        <f>IF('Test Suite'!#REF!="","",'Test Suite'!#REF!)</f>
        <v>#REF!</v>
      </c>
    </row>
    <row r="40" spans="2:6" x14ac:dyDescent="0.3">
      <c r="B40" t="e">
        <f>_xlfn.CONCAT('Test Suite'!#REF!," / ",'Test Suite'!#REF!,"_",'Test Suite'!#REF!)</f>
        <v>#REF!</v>
      </c>
      <c r="D40" t="e">
        <f>_xlfn.CONCAT('Test Suite'!#REF!," ",'Test Suite'!#REF!)</f>
        <v>#REF!</v>
      </c>
      <c r="E40" t="e">
        <f>IF('Test Suite'!#REF!="","",'Test Suite'!#REF!)</f>
        <v>#REF!</v>
      </c>
      <c r="F40" t="e">
        <f>IF('Test Suite'!#REF!="","",'Test Suite'!#REF!)</f>
        <v>#REF!</v>
      </c>
    </row>
    <row r="41" spans="2:6" x14ac:dyDescent="0.3">
      <c r="B41" t="e">
        <f>_xlfn.CONCAT('Test Suite'!#REF!," / ",'Test Suite'!#REF!,"_",'Test Suite'!#REF!)</f>
        <v>#REF!</v>
      </c>
      <c r="D41" t="e">
        <f>_xlfn.CONCAT('Test Suite'!#REF!," ",'Test Suite'!#REF!)</f>
        <v>#REF!</v>
      </c>
      <c r="E41" t="e">
        <f>IF('Test Suite'!#REF!="","",'Test Suite'!#REF!)</f>
        <v>#REF!</v>
      </c>
      <c r="F41" t="e">
        <f>IF('Test Suite'!#REF!="","",'Test Suite'!#REF!)</f>
        <v>#REF!</v>
      </c>
    </row>
    <row r="42" spans="2:6" x14ac:dyDescent="0.3">
      <c r="B42" t="e">
        <f>_xlfn.CONCAT('Test Suite'!#REF!," / ",'Test Suite'!#REF!,"_",'Test Suite'!#REF!)</f>
        <v>#REF!</v>
      </c>
      <c r="D42" t="e">
        <f>_xlfn.CONCAT('Test Suite'!#REF!," ",'Test Suite'!#REF!)</f>
        <v>#REF!</v>
      </c>
      <c r="E42" t="e">
        <f>IF('Test Suite'!#REF!="","",'Test Suite'!#REF!)</f>
        <v>#REF!</v>
      </c>
      <c r="F42" t="e">
        <f>IF('Test Suite'!#REF!="","",'Test Suite'!#REF!)</f>
        <v>#REF!</v>
      </c>
    </row>
    <row r="43" spans="2:6" x14ac:dyDescent="0.3">
      <c r="B43" t="e">
        <f>_xlfn.CONCAT('Test Suite'!#REF!," / ",'Test Suite'!#REF!,"_",'Test Suite'!#REF!)</f>
        <v>#REF!</v>
      </c>
      <c r="D43" t="e">
        <f>_xlfn.CONCAT('Test Suite'!#REF!," ",'Test Suite'!#REF!)</f>
        <v>#REF!</v>
      </c>
      <c r="E43" t="e">
        <f>IF('Test Suite'!#REF!="","",'Test Suite'!#REF!)</f>
        <v>#REF!</v>
      </c>
      <c r="F43" t="e">
        <f>IF('Test Suite'!#REF!="","",'Test Suite'!#REF!)</f>
        <v>#REF!</v>
      </c>
    </row>
    <row r="44" spans="2:6" x14ac:dyDescent="0.3">
      <c r="B44" t="e">
        <f>_xlfn.CONCAT('Test Suite'!#REF!," / ",'Test Suite'!#REF!,"_",'Test Suite'!#REF!)</f>
        <v>#REF!</v>
      </c>
      <c r="D44" t="e">
        <f>_xlfn.CONCAT('Test Suite'!#REF!," ",'Test Suite'!#REF!)</f>
        <v>#REF!</v>
      </c>
      <c r="E44" t="e">
        <f>IF('Test Suite'!#REF!="","",'Test Suite'!#REF!)</f>
        <v>#REF!</v>
      </c>
      <c r="F44" t="e">
        <f>IF('Test Suite'!#REF!="","",'Test Suite'!#REF!)</f>
        <v>#REF!</v>
      </c>
    </row>
    <row r="45" spans="2:6" x14ac:dyDescent="0.3">
      <c r="B45" t="e">
        <f>_xlfn.CONCAT('Test Suite'!#REF!," / ",'Test Suite'!#REF!,"_",'Test Suite'!#REF!)</f>
        <v>#REF!</v>
      </c>
      <c r="D45" t="e">
        <f>_xlfn.CONCAT('Test Suite'!#REF!," ",'Test Suite'!#REF!)</f>
        <v>#REF!</v>
      </c>
      <c r="E45" t="e">
        <f>IF('Test Suite'!#REF!="","",'Test Suite'!#REF!)</f>
        <v>#REF!</v>
      </c>
      <c r="F45" t="e">
        <f>IF('Test Suite'!#REF!="","",'Test Suite'!#REF!)</f>
        <v>#REF!</v>
      </c>
    </row>
    <row r="46" spans="2:6" x14ac:dyDescent="0.3">
      <c r="B46" t="e">
        <f>_xlfn.CONCAT('Test Suite'!#REF!," / ",'Test Suite'!#REF!,"_",'Test Suite'!#REF!)</f>
        <v>#REF!</v>
      </c>
      <c r="D46" t="e">
        <f>_xlfn.CONCAT('Test Suite'!#REF!," ",'Test Suite'!#REF!)</f>
        <v>#REF!</v>
      </c>
      <c r="E46" t="e">
        <f>IF('Test Suite'!#REF!="","",'Test Suite'!#REF!)</f>
        <v>#REF!</v>
      </c>
      <c r="F46" t="e">
        <f>IF('Test Suite'!#REF!="","",'Test Suite'!#REF!)</f>
        <v>#REF!</v>
      </c>
    </row>
    <row r="47" spans="2:6" x14ac:dyDescent="0.3">
      <c r="B47" t="e">
        <f>_xlfn.CONCAT('Test Suite'!#REF!," / ",'Test Suite'!#REF!,"_",'Test Suite'!#REF!)</f>
        <v>#REF!</v>
      </c>
      <c r="D47" t="e">
        <f>_xlfn.CONCAT('Test Suite'!#REF!," ",'Test Suite'!#REF!)</f>
        <v>#REF!</v>
      </c>
      <c r="E47" t="e">
        <f>IF('Test Suite'!#REF!="","",'Test Suite'!#REF!)</f>
        <v>#REF!</v>
      </c>
      <c r="F47" t="e">
        <f>IF('Test Suite'!#REF!="","",'Test Suite'!#REF!)</f>
        <v>#REF!</v>
      </c>
    </row>
    <row r="48" spans="2:6" x14ac:dyDescent="0.3">
      <c r="B48" t="e">
        <f>_xlfn.CONCAT('Test Suite'!#REF!," / ",'Test Suite'!#REF!,"_",'Test Suite'!#REF!)</f>
        <v>#REF!</v>
      </c>
      <c r="D48" t="e">
        <f>_xlfn.CONCAT('Test Suite'!#REF!," ",'Test Suite'!#REF!)</f>
        <v>#REF!</v>
      </c>
      <c r="E48" t="e">
        <f>IF('Test Suite'!#REF!="","",'Test Suite'!#REF!)</f>
        <v>#REF!</v>
      </c>
      <c r="F48" t="e">
        <f>IF('Test Suite'!#REF!="","",'Test Suite'!#REF!)</f>
        <v>#REF!</v>
      </c>
    </row>
    <row r="49" spans="2:6" x14ac:dyDescent="0.3">
      <c r="B49" t="e">
        <f>_xlfn.CONCAT('Test Suite'!#REF!," / ",'Test Suite'!#REF!,"_",'Test Suite'!#REF!)</f>
        <v>#REF!</v>
      </c>
      <c r="D49" t="e">
        <f>_xlfn.CONCAT('Test Suite'!#REF!," ",'Test Suite'!#REF!)</f>
        <v>#REF!</v>
      </c>
      <c r="E49" t="e">
        <f>IF('Test Suite'!#REF!="","",'Test Suite'!#REF!)</f>
        <v>#REF!</v>
      </c>
      <c r="F49" t="e">
        <f>IF('Test Suite'!#REF!="","",'Test Suite'!#REF!)</f>
        <v>#REF!</v>
      </c>
    </row>
    <row r="50" spans="2:6" x14ac:dyDescent="0.3">
      <c r="B50" t="e">
        <f>_xlfn.CONCAT('Test Suite'!#REF!," / ",'Test Suite'!#REF!,"_",'Test Suite'!#REF!)</f>
        <v>#REF!</v>
      </c>
      <c r="D50" t="e">
        <f>_xlfn.CONCAT('Test Suite'!#REF!," ",'Test Suite'!#REF!)</f>
        <v>#REF!</v>
      </c>
      <c r="E50" t="e">
        <f>IF('Test Suite'!#REF!="","",'Test Suite'!#REF!)</f>
        <v>#REF!</v>
      </c>
      <c r="F50" t="e">
        <f>IF('Test Suite'!#REF!="","",'Test Suite'!#REF!)</f>
        <v>#REF!</v>
      </c>
    </row>
    <row r="51" spans="2:6" x14ac:dyDescent="0.3">
      <c r="B51" t="e">
        <f>_xlfn.CONCAT('Test Suite'!#REF!," / ",'Test Suite'!#REF!,"_",'Test Suite'!#REF!)</f>
        <v>#REF!</v>
      </c>
      <c r="D51" t="e">
        <f>_xlfn.CONCAT('Test Suite'!#REF!," ",'Test Suite'!#REF!)</f>
        <v>#REF!</v>
      </c>
      <c r="E51" t="e">
        <f>IF('Test Suite'!#REF!="","",'Test Suite'!#REF!)</f>
        <v>#REF!</v>
      </c>
      <c r="F51" t="e">
        <f>IF('Test Suite'!#REF!="","",'Test Suite'!#REF!)</f>
        <v>#REF!</v>
      </c>
    </row>
    <row r="52" spans="2:6" x14ac:dyDescent="0.3">
      <c r="B52" t="e">
        <f>_xlfn.CONCAT('Test Suite'!#REF!," / ",'Test Suite'!#REF!,"_",'Test Suite'!#REF!)</f>
        <v>#REF!</v>
      </c>
      <c r="D52" t="e">
        <f>_xlfn.CONCAT('Test Suite'!#REF!," ",'Test Suite'!#REF!)</f>
        <v>#REF!</v>
      </c>
      <c r="E52" t="e">
        <f>IF('Test Suite'!#REF!="","",'Test Suite'!#REF!)</f>
        <v>#REF!</v>
      </c>
      <c r="F52" t="e">
        <f>IF('Test Suite'!#REF!="","",'Test Suite'!#REF!)</f>
        <v>#REF!</v>
      </c>
    </row>
    <row r="53" spans="2:6" x14ac:dyDescent="0.3">
      <c r="B53" t="e">
        <f>_xlfn.CONCAT('Test Suite'!#REF!," / ",'Test Suite'!#REF!,"_",'Test Suite'!#REF!)</f>
        <v>#REF!</v>
      </c>
      <c r="D53" t="e">
        <f>_xlfn.CONCAT('Test Suite'!#REF!," ",'Test Suite'!#REF!)</f>
        <v>#REF!</v>
      </c>
      <c r="E53" t="e">
        <f>IF('Test Suite'!#REF!="","",'Test Suite'!#REF!)</f>
        <v>#REF!</v>
      </c>
      <c r="F53" t="e">
        <f>IF('Test Suite'!#REF!="","",'Test Suite'!#REF!)</f>
        <v>#REF!</v>
      </c>
    </row>
    <row r="54" spans="2:6" x14ac:dyDescent="0.3">
      <c r="B54" t="e">
        <f>_xlfn.CONCAT('Test Suite'!#REF!," / ",'Test Suite'!#REF!,"_",'Test Suite'!#REF!)</f>
        <v>#REF!</v>
      </c>
      <c r="D54" t="e">
        <f>_xlfn.CONCAT('Test Suite'!#REF!," ",'Test Suite'!#REF!)</f>
        <v>#REF!</v>
      </c>
      <c r="E54" t="e">
        <f>IF('Test Suite'!#REF!="","",'Test Suite'!#REF!)</f>
        <v>#REF!</v>
      </c>
      <c r="F54" t="e">
        <f>IF('Test Suite'!#REF!="","",'Test Suite'!#REF!)</f>
        <v>#REF!</v>
      </c>
    </row>
    <row r="55" spans="2:6" x14ac:dyDescent="0.3">
      <c r="B55" t="e">
        <f>_xlfn.CONCAT('Test Suite'!#REF!," / ",'Test Suite'!#REF!,"_",'Test Suite'!#REF!)</f>
        <v>#REF!</v>
      </c>
      <c r="D55" t="e">
        <f>_xlfn.CONCAT('Test Suite'!#REF!," ",'Test Suite'!#REF!)</f>
        <v>#REF!</v>
      </c>
      <c r="E55" t="e">
        <f>IF('Test Suite'!#REF!="","",'Test Suite'!#REF!)</f>
        <v>#REF!</v>
      </c>
      <c r="F55" t="e">
        <f>IF('Test Suite'!#REF!="","",'Test Suite'!#REF!)</f>
        <v>#REF!</v>
      </c>
    </row>
    <row r="56" spans="2:6" x14ac:dyDescent="0.3">
      <c r="B56" t="e">
        <f>_xlfn.CONCAT('Test Suite'!#REF!," / ",'Test Suite'!#REF!,"_",'Test Suite'!#REF!)</f>
        <v>#REF!</v>
      </c>
      <c r="D56" t="e">
        <f>_xlfn.CONCAT('Test Suite'!#REF!," ",'Test Suite'!#REF!)</f>
        <v>#REF!</v>
      </c>
      <c r="E56" t="e">
        <f>IF('Test Suite'!#REF!="","",'Test Suite'!#REF!)</f>
        <v>#REF!</v>
      </c>
      <c r="F56" t="e">
        <f>IF('Test Suite'!#REF!="","",'Test Suite'!#REF!)</f>
        <v>#REF!</v>
      </c>
    </row>
    <row r="57" spans="2:6" x14ac:dyDescent="0.3">
      <c r="B57" t="e">
        <f>_xlfn.CONCAT('Test Suite'!#REF!," / ",'Test Suite'!#REF!,"_",'Test Suite'!#REF!)</f>
        <v>#REF!</v>
      </c>
      <c r="D57" t="e">
        <f>_xlfn.CONCAT('Test Suite'!#REF!," ",'Test Suite'!#REF!)</f>
        <v>#REF!</v>
      </c>
      <c r="E57" t="e">
        <f>IF('Test Suite'!#REF!="","",'Test Suite'!#REF!)</f>
        <v>#REF!</v>
      </c>
      <c r="F57" t="e">
        <f>IF('Test Suite'!#REF!="","",'Test Suite'!#REF!)</f>
        <v>#REF!</v>
      </c>
    </row>
    <row r="58" spans="2:6" x14ac:dyDescent="0.3">
      <c r="B58" t="e">
        <f>_xlfn.CONCAT('Test Suite'!#REF!," / ",'Test Suite'!#REF!,"_",'Test Suite'!#REF!)</f>
        <v>#REF!</v>
      </c>
      <c r="D58" t="e">
        <f>_xlfn.CONCAT('Test Suite'!#REF!," ",'Test Suite'!#REF!)</f>
        <v>#REF!</v>
      </c>
      <c r="E58" t="e">
        <f>IF('Test Suite'!#REF!="","",'Test Suite'!#REF!)</f>
        <v>#REF!</v>
      </c>
      <c r="F58" t="e">
        <f>IF('Test Suite'!#REF!="","",'Test Suite'!#REF!)</f>
        <v>#REF!</v>
      </c>
    </row>
    <row r="59" spans="2:6" x14ac:dyDescent="0.3">
      <c r="B59" t="e">
        <f>_xlfn.CONCAT('Test Suite'!#REF!," / ",'Test Suite'!#REF!,"_",'Test Suite'!#REF!)</f>
        <v>#REF!</v>
      </c>
      <c r="D59" t="e">
        <f>_xlfn.CONCAT('Test Suite'!#REF!," ",'Test Suite'!#REF!)</f>
        <v>#REF!</v>
      </c>
      <c r="E59" t="e">
        <f>IF('Test Suite'!#REF!="","",'Test Suite'!#REF!)</f>
        <v>#REF!</v>
      </c>
      <c r="F59" t="e">
        <f>IF('Test Suite'!#REF!="","",'Test Suite'!#REF!)</f>
        <v>#REF!</v>
      </c>
    </row>
    <row r="60" spans="2:6" x14ac:dyDescent="0.3">
      <c r="B60" t="e">
        <f>_xlfn.CONCAT('Test Suite'!#REF!," / ",'Test Suite'!#REF!,"_",'Test Suite'!#REF!)</f>
        <v>#REF!</v>
      </c>
      <c r="D60" t="e">
        <f>_xlfn.CONCAT('Test Suite'!#REF!," ",'Test Suite'!#REF!)</f>
        <v>#REF!</v>
      </c>
      <c r="E60" t="e">
        <f>IF('Test Suite'!#REF!="","",'Test Suite'!#REF!)</f>
        <v>#REF!</v>
      </c>
      <c r="F60" t="e">
        <f>IF('Test Suite'!#REF!="","",'Test Suite'!#REF!)</f>
        <v>#REF!</v>
      </c>
    </row>
    <row r="61" spans="2:6" x14ac:dyDescent="0.3">
      <c r="B61" t="e">
        <f>_xlfn.CONCAT('Test Suite'!#REF!," / ",'Test Suite'!#REF!,"_",'Test Suite'!#REF!)</f>
        <v>#REF!</v>
      </c>
      <c r="D61" t="e">
        <f>_xlfn.CONCAT('Test Suite'!#REF!," ",'Test Suite'!#REF!)</f>
        <v>#REF!</v>
      </c>
      <c r="E61" t="e">
        <f>IF('Test Suite'!#REF!="","",'Test Suite'!#REF!)</f>
        <v>#REF!</v>
      </c>
      <c r="F61" t="e">
        <f>IF('Test Suite'!#REF!="","",'Test Suite'!#REF!)</f>
        <v>#REF!</v>
      </c>
    </row>
    <row r="62" spans="2:6" x14ac:dyDescent="0.3">
      <c r="B62" t="e">
        <f>_xlfn.CONCAT('Test Suite'!#REF!," / ",'Test Suite'!#REF!,"_",'Test Suite'!#REF!)</f>
        <v>#REF!</v>
      </c>
      <c r="D62" t="e">
        <f>_xlfn.CONCAT('Test Suite'!#REF!," ",'Test Suite'!#REF!)</f>
        <v>#REF!</v>
      </c>
      <c r="E62" t="e">
        <f>IF('Test Suite'!#REF!="","",'Test Suite'!#REF!)</f>
        <v>#REF!</v>
      </c>
      <c r="F62" t="e">
        <f>IF('Test Suite'!#REF!="","",'Test Suite'!#REF!)</f>
        <v>#REF!</v>
      </c>
    </row>
    <row r="63" spans="2:6" x14ac:dyDescent="0.3">
      <c r="B63" t="e">
        <f>_xlfn.CONCAT('Test Suite'!#REF!," / ",'Test Suite'!#REF!,"_",'Test Suite'!#REF!)</f>
        <v>#REF!</v>
      </c>
      <c r="D63" t="e">
        <f>_xlfn.CONCAT('Test Suite'!#REF!," ",'Test Suite'!#REF!)</f>
        <v>#REF!</v>
      </c>
      <c r="E63" t="e">
        <f>IF('Test Suite'!#REF!="","",'Test Suite'!#REF!)</f>
        <v>#REF!</v>
      </c>
      <c r="F63" t="e">
        <f>IF('Test Suite'!#REF!="","",'Test Suite'!#REF!)</f>
        <v>#REF!</v>
      </c>
    </row>
    <row r="64" spans="2:6" x14ac:dyDescent="0.3">
      <c r="B64" t="e">
        <f>_xlfn.CONCAT('Test Suite'!#REF!," / ",'Test Suite'!#REF!,"_",'Test Suite'!#REF!)</f>
        <v>#REF!</v>
      </c>
      <c r="D64" t="e">
        <f>_xlfn.CONCAT('Test Suite'!#REF!," ",'Test Suite'!#REF!)</f>
        <v>#REF!</v>
      </c>
      <c r="E64" t="e">
        <f>IF('Test Suite'!#REF!="","",'Test Suite'!#REF!)</f>
        <v>#REF!</v>
      </c>
      <c r="F64" t="e">
        <f>IF('Test Suite'!#REF!="","",'Test Suite'!#REF!)</f>
        <v>#REF!</v>
      </c>
    </row>
    <row r="65" spans="2:6" x14ac:dyDescent="0.3">
      <c r="B65" t="e">
        <f>_xlfn.CONCAT('Test Suite'!#REF!," / ",'Test Suite'!#REF!,"_",'Test Suite'!#REF!)</f>
        <v>#REF!</v>
      </c>
      <c r="D65" t="e">
        <f>_xlfn.CONCAT('Test Suite'!#REF!," ",'Test Suite'!#REF!)</f>
        <v>#REF!</v>
      </c>
      <c r="E65" t="e">
        <f>IF('Test Suite'!#REF!="","",'Test Suite'!#REF!)</f>
        <v>#REF!</v>
      </c>
      <c r="F65" t="e">
        <f>IF('Test Suite'!#REF!="","",'Test Suite'!#REF!)</f>
        <v>#REF!</v>
      </c>
    </row>
    <row r="66" spans="2:6" x14ac:dyDescent="0.3">
      <c r="B66" t="e">
        <f>_xlfn.CONCAT('Test Suite'!#REF!," / ",'Test Suite'!#REF!,"_",'Test Suite'!#REF!)</f>
        <v>#REF!</v>
      </c>
      <c r="D66" t="e">
        <f>_xlfn.CONCAT('Test Suite'!#REF!," ",'Test Suite'!#REF!)</f>
        <v>#REF!</v>
      </c>
      <c r="E66" t="e">
        <f>IF('Test Suite'!#REF!="","",'Test Suite'!#REF!)</f>
        <v>#REF!</v>
      </c>
      <c r="F66" t="e">
        <f>IF('Test Suite'!#REF!="","",'Test Suite'!#REF!)</f>
        <v>#REF!</v>
      </c>
    </row>
    <row r="67" spans="2:6" x14ac:dyDescent="0.3">
      <c r="B67" t="e">
        <f>_xlfn.CONCAT('Test Suite'!#REF!," / ",'Test Suite'!#REF!,"_",'Test Suite'!#REF!)</f>
        <v>#REF!</v>
      </c>
      <c r="D67" t="e">
        <f>_xlfn.CONCAT('Test Suite'!#REF!," ",'Test Suite'!#REF!)</f>
        <v>#REF!</v>
      </c>
      <c r="E67" t="e">
        <f>IF('Test Suite'!#REF!="","",'Test Suite'!#REF!)</f>
        <v>#REF!</v>
      </c>
      <c r="F67" t="e">
        <f>IF('Test Suite'!#REF!="","",'Test Suite'!#REF!)</f>
        <v>#REF!</v>
      </c>
    </row>
    <row r="68" spans="2:6" x14ac:dyDescent="0.3">
      <c r="B68" t="e">
        <f>_xlfn.CONCAT('Test Suite'!#REF!," / ",'Test Suite'!#REF!,"_",'Test Suite'!#REF!)</f>
        <v>#REF!</v>
      </c>
      <c r="D68" t="e">
        <f>_xlfn.CONCAT('Test Suite'!#REF!," ",'Test Suite'!#REF!)</f>
        <v>#REF!</v>
      </c>
      <c r="E68" t="e">
        <f>IF('Test Suite'!#REF!="","",'Test Suite'!#REF!)</f>
        <v>#REF!</v>
      </c>
      <c r="F68" t="e">
        <f>IF('Test Suite'!#REF!="","",'Test Suite'!#REF!)</f>
        <v>#REF!</v>
      </c>
    </row>
    <row r="69" spans="2:6" x14ac:dyDescent="0.3">
      <c r="B69" t="e">
        <f>_xlfn.CONCAT('Test Suite'!#REF!," / ",'Test Suite'!#REF!,"_",'Test Suite'!#REF!)</f>
        <v>#REF!</v>
      </c>
      <c r="D69" t="e">
        <f>_xlfn.CONCAT('Test Suite'!#REF!," ",'Test Suite'!#REF!)</f>
        <v>#REF!</v>
      </c>
      <c r="E69" t="e">
        <f>IF('Test Suite'!#REF!="","",'Test Suite'!#REF!)</f>
        <v>#REF!</v>
      </c>
      <c r="F69" t="e">
        <f>IF('Test Suite'!#REF!="","",'Test Suite'!#REF!)</f>
        <v>#REF!</v>
      </c>
    </row>
    <row r="70" spans="2:6" x14ac:dyDescent="0.3">
      <c r="B70" t="e">
        <f>_xlfn.CONCAT('Test Suite'!#REF!," / ",'Test Suite'!#REF!,"_",'Test Suite'!#REF!)</f>
        <v>#REF!</v>
      </c>
      <c r="D70" t="e">
        <f>_xlfn.CONCAT('Test Suite'!#REF!," ",'Test Suite'!#REF!)</f>
        <v>#REF!</v>
      </c>
      <c r="E70" t="e">
        <f>IF('Test Suite'!#REF!="","",'Test Suite'!#REF!)</f>
        <v>#REF!</v>
      </c>
      <c r="F70" t="e">
        <f>IF('Test Suite'!#REF!="","",'Test Suite'!#REF!)</f>
        <v>#REF!</v>
      </c>
    </row>
    <row r="71" spans="2:6" x14ac:dyDescent="0.3">
      <c r="B71" t="e">
        <f>_xlfn.CONCAT('Test Suite'!#REF!," / ",'Test Suite'!#REF!,"_",'Test Suite'!#REF!)</f>
        <v>#REF!</v>
      </c>
      <c r="D71" t="e">
        <f>_xlfn.CONCAT('Test Suite'!#REF!," ",'Test Suite'!#REF!)</f>
        <v>#REF!</v>
      </c>
      <c r="E71" t="e">
        <f>IF('Test Suite'!#REF!="","",'Test Suite'!#REF!)</f>
        <v>#REF!</v>
      </c>
      <c r="F71" t="e">
        <f>IF('Test Suite'!#REF!="","",'Test Suite'!#REF!)</f>
        <v>#REF!</v>
      </c>
    </row>
    <row r="72" spans="2:6" x14ac:dyDescent="0.3">
      <c r="B72" t="e">
        <f>_xlfn.CONCAT('Test Suite'!#REF!," / ",'Test Suite'!#REF!,"_",'Test Suite'!#REF!)</f>
        <v>#REF!</v>
      </c>
      <c r="D72" t="e">
        <f>_xlfn.CONCAT('Test Suite'!#REF!," ",'Test Suite'!#REF!)</f>
        <v>#REF!</v>
      </c>
      <c r="E72" t="e">
        <f>IF('Test Suite'!#REF!="","",'Test Suite'!#REF!)</f>
        <v>#REF!</v>
      </c>
      <c r="F72" t="e">
        <f>IF('Test Suite'!#REF!="","",'Test Suite'!#REF!)</f>
        <v>#REF!</v>
      </c>
    </row>
    <row r="73" spans="2:6" x14ac:dyDescent="0.3">
      <c r="B73" t="e">
        <f>_xlfn.CONCAT('Test Suite'!#REF!," / ",'Test Suite'!#REF!,"_",'Test Suite'!#REF!)</f>
        <v>#REF!</v>
      </c>
      <c r="D73" t="e">
        <f>_xlfn.CONCAT('Test Suite'!#REF!," ",'Test Suite'!#REF!)</f>
        <v>#REF!</v>
      </c>
      <c r="E73" t="e">
        <f>IF('Test Suite'!#REF!="","",'Test Suite'!#REF!)</f>
        <v>#REF!</v>
      </c>
      <c r="F73" t="e">
        <f>IF('Test Suite'!#REF!="","",'Test Suite'!#REF!)</f>
        <v>#REF!</v>
      </c>
    </row>
    <row r="74" spans="2:6" x14ac:dyDescent="0.3">
      <c r="B74" t="e">
        <f>_xlfn.CONCAT('Test Suite'!#REF!," / ",'Test Suite'!#REF!,"_",'Test Suite'!#REF!)</f>
        <v>#REF!</v>
      </c>
      <c r="D74" t="e">
        <f>_xlfn.CONCAT('Test Suite'!#REF!," ",'Test Suite'!#REF!)</f>
        <v>#REF!</v>
      </c>
      <c r="E74" t="e">
        <f>IF('Test Suite'!#REF!="","",'Test Suite'!#REF!)</f>
        <v>#REF!</v>
      </c>
      <c r="F74" t="e">
        <f>IF('Test Suite'!#REF!="","",'Test Suite'!#REF!)</f>
        <v>#REF!</v>
      </c>
    </row>
    <row r="75" spans="2:6" x14ac:dyDescent="0.3">
      <c r="B75" t="e">
        <f>_xlfn.CONCAT('Test Suite'!#REF!," / ",'Test Suite'!#REF!,"_",'Test Suite'!#REF!)</f>
        <v>#REF!</v>
      </c>
      <c r="D75" t="e">
        <f>_xlfn.CONCAT('Test Suite'!#REF!," ",'Test Suite'!#REF!)</f>
        <v>#REF!</v>
      </c>
      <c r="E75" t="e">
        <f>IF('Test Suite'!#REF!="","",'Test Suite'!#REF!)</f>
        <v>#REF!</v>
      </c>
      <c r="F75" t="e">
        <f>IF('Test Suite'!#REF!="","",'Test Suite'!#REF!)</f>
        <v>#REF!</v>
      </c>
    </row>
    <row r="76" spans="2:6" x14ac:dyDescent="0.3">
      <c r="B76" t="e">
        <f>_xlfn.CONCAT('Test Suite'!#REF!," / ",'Test Suite'!#REF!,"_",'Test Suite'!#REF!)</f>
        <v>#REF!</v>
      </c>
      <c r="D76" t="e">
        <f>_xlfn.CONCAT('Test Suite'!#REF!," ",'Test Suite'!#REF!)</f>
        <v>#REF!</v>
      </c>
      <c r="E76" t="e">
        <f>IF('Test Suite'!#REF!="","",'Test Suite'!#REF!)</f>
        <v>#REF!</v>
      </c>
      <c r="F76" t="e">
        <f>IF('Test Suite'!#REF!="","",'Test Suite'!#REF!)</f>
        <v>#REF!</v>
      </c>
    </row>
    <row r="77" spans="2:6" x14ac:dyDescent="0.3">
      <c r="B77" t="e">
        <f>_xlfn.CONCAT('Test Suite'!#REF!," / ",'Test Suite'!#REF!,"_",'Test Suite'!#REF!)</f>
        <v>#REF!</v>
      </c>
      <c r="D77" t="e">
        <f>_xlfn.CONCAT('Test Suite'!#REF!," ",'Test Suite'!#REF!)</f>
        <v>#REF!</v>
      </c>
      <c r="E77" t="e">
        <f>IF('Test Suite'!#REF!="","",'Test Suite'!#REF!)</f>
        <v>#REF!</v>
      </c>
      <c r="F77" t="e">
        <f>IF('Test Suite'!#REF!="","",'Test Suite'!#REF!)</f>
        <v>#REF!</v>
      </c>
    </row>
    <row r="78" spans="2:6" x14ac:dyDescent="0.3">
      <c r="B78" t="e">
        <f>_xlfn.CONCAT('Test Suite'!#REF!," / ",'Test Suite'!#REF!,"_",'Test Suite'!#REF!)</f>
        <v>#REF!</v>
      </c>
      <c r="D78" t="e">
        <f>_xlfn.CONCAT('Test Suite'!#REF!," ",'Test Suite'!#REF!)</f>
        <v>#REF!</v>
      </c>
      <c r="E78" t="e">
        <f>IF('Test Suite'!#REF!="","",'Test Suite'!#REF!)</f>
        <v>#REF!</v>
      </c>
      <c r="F78" t="e">
        <f>IF('Test Suite'!#REF!="","",'Test Suite'!#REF!)</f>
        <v>#REF!</v>
      </c>
    </row>
    <row r="79" spans="2:6" x14ac:dyDescent="0.3">
      <c r="B79" t="e">
        <f>_xlfn.CONCAT('Test Suite'!#REF!," / ",'Test Suite'!#REF!,"_",'Test Suite'!#REF!)</f>
        <v>#REF!</v>
      </c>
      <c r="D79" t="e">
        <f>_xlfn.CONCAT('Test Suite'!#REF!," ",'Test Suite'!#REF!)</f>
        <v>#REF!</v>
      </c>
      <c r="E79" t="e">
        <f>IF('Test Suite'!#REF!="","",'Test Suite'!#REF!)</f>
        <v>#REF!</v>
      </c>
      <c r="F79" t="e">
        <f>IF('Test Suite'!#REF!="","",'Test Suite'!#REF!)</f>
        <v>#REF!</v>
      </c>
    </row>
    <row r="80" spans="2:6" x14ac:dyDescent="0.3">
      <c r="B80" t="e">
        <f>_xlfn.CONCAT('Test Suite'!#REF!," / ",'Test Suite'!#REF!,"_",'Test Suite'!#REF!)</f>
        <v>#REF!</v>
      </c>
      <c r="D80" t="e">
        <f>_xlfn.CONCAT('Test Suite'!#REF!," ",'Test Suite'!#REF!)</f>
        <v>#REF!</v>
      </c>
      <c r="E80" t="e">
        <f>IF('Test Suite'!#REF!="","",'Test Suite'!#REF!)</f>
        <v>#REF!</v>
      </c>
      <c r="F80" t="e">
        <f>IF('Test Suite'!#REF!="","",'Test Suite'!#REF!)</f>
        <v>#REF!</v>
      </c>
    </row>
    <row r="81" spans="2:6" x14ac:dyDescent="0.3">
      <c r="B81" t="e">
        <f>_xlfn.CONCAT('Test Suite'!#REF!," / ",'Test Suite'!#REF!,"_",'Test Suite'!#REF!)</f>
        <v>#REF!</v>
      </c>
      <c r="D81" t="e">
        <f>_xlfn.CONCAT('Test Suite'!#REF!," ",'Test Suite'!#REF!)</f>
        <v>#REF!</v>
      </c>
      <c r="E81" t="e">
        <f>IF('Test Suite'!#REF!="","",'Test Suite'!#REF!)</f>
        <v>#REF!</v>
      </c>
      <c r="F81" t="e">
        <f>IF('Test Suite'!#REF!="","",'Test Suite'!#REF!)</f>
        <v>#REF!</v>
      </c>
    </row>
    <row r="82" spans="2:6" x14ac:dyDescent="0.3">
      <c r="B82" t="e">
        <f>_xlfn.CONCAT('Test Suite'!#REF!," / ",'Test Suite'!#REF!,"_",'Test Suite'!#REF!)</f>
        <v>#REF!</v>
      </c>
      <c r="D82" t="e">
        <f>_xlfn.CONCAT('Test Suite'!#REF!," ",'Test Suite'!#REF!)</f>
        <v>#REF!</v>
      </c>
      <c r="E82" t="e">
        <f>IF('Test Suite'!#REF!="","",'Test Suite'!#REF!)</f>
        <v>#REF!</v>
      </c>
      <c r="F82" t="e">
        <f>IF('Test Suite'!#REF!="","",'Test Suite'!#REF!)</f>
        <v>#REF!</v>
      </c>
    </row>
    <row r="83" spans="2:6" x14ac:dyDescent="0.3">
      <c r="B83" t="e">
        <f>_xlfn.CONCAT('Test Suite'!#REF!," / ",'Test Suite'!#REF!,"_",'Test Suite'!#REF!)</f>
        <v>#REF!</v>
      </c>
      <c r="D83" t="e">
        <f>_xlfn.CONCAT('Test Suite'!#REF!," ",'Test Suite'!#REF!)</f>
        <v>#REF!</v>
      </c>
      <c r="E83" t="e">
        <f>IF('Test Suite'!#REF!="","",'Test Suite'!#REF!)</f>
        <v>#REF!</v>
      </c>
      <c r="F83" t="e">
        <f>IF('Test Suite'!#REF!="","",'Test Suite'!#REF!)</f>
        <v>#REF!</v>
      </c>
    </row>
    <row r="84" spans="2:6" x14ac:dyDescent="0.3">
      <c r="B84" t="e">
        <f>_xlfn.CONCAT('Test Suite'!#REF!," / ",'Test Suite'!#REF!,"_",'Test Suite'!#REF!)</f>
        <v>#REF!</v>
      </c>
      <c r="D84" t="e">
        <f>_xlfn.CONCAT('Test Suite'!#REF!," ",'Test Suite'!#REF!)</f>
        <v>#REF!</v>
      </c>
      <c r="E84" t="e">
        <f>IF('Test Suite'!#REF!="","",'Test Suite'!#REF!)</f>
        <v>#REF!</v>
      </c>
      <c r="F84" t="e">
        <f>IF('Test Suite'!#REF!="","",'Test Suite'!#REF!)</f>
        <v>#REF!</v>
      </c>
    </row>
    <row r="85" spans="2:6" x14ac:dyDescent="0.3">
      <c r="B85" t="e">
        <f>_xlfn.CONCAT('Test Suite'!#REF!," / ",'Test Suite'!#REF!,"_",'Test Suite'!#REF!)</f>
        <v>#REF!</v>
      </c>
      <c r="D85" t="e">
        <f>_xlfn.CONCAT('Test Suite'!#REF!," ",'Test Suite'!#REF!)</f>
        <v>#REF!</v>
      </c>
      <c r="E85" t="e">
        <f>IF('Test Suite'!#REF!="","",'Test Suite'!#REF!)</f>
        <v>#REF!</v>
      </c>
      <c r="F85" t="e">
        <f>IF('Test Suite'!#REF!="","",'Test Suite'!#REF!)</f>
        <v>#REF!</v>
      </c>
    </row>
    <row r="86" spans="2:6" x14ac:dyDescent="0.3">
      <c r="B86" t="e">
        <f>_xlfn.CONCAT('Test Suite'!#REF!," / ",'Test Suite'!#REF!,"_",'Test Suite'!#REF!)</f>
        <v>#REF!</v>
      </c>
      <c r="D86" t="e">
        <f>_xlfn.CONCAT('Test Suite'!#REF!," ",'Test Suite'!#REF!)</f>
        <v>#REF!</v>
      </c>
      <c r="E86" t="e">
        <f>IF('Test Suite'!#REF!="","",'Test Suite'!#REF!)</f>
        <v>#REF!</v>
      </c>
      <c r="F86" t="e">
        <f>IF('Test Suite'!#REF!="","",'Test Suite'!#REF!)</f>
        <v>#REF!</v>
      </c>
    </row>
    <row r="87" spans="2:6" x14ac:dyDescent="0.3">
      <c r="B87" t="e">
        <f>_xlfn.CONCAT('Test Suite'!#REF!," / ",'Test Suite'!#REF!,"_",'Test Suite'!#REF!)</f>
        <v>#REF!</v>
      </c>
      <c r="D87" t="e">
        <f>_xlfn.CONCAT('Test Suite'!#REF!," ",'Test Suite'!#REF!)</f>
        <v>#REF!</v>
      </c>
      <c r="E87" t="e">
        <f>IF('Test Suite'!#REF!="","",'Test Suite'!#REF!)</f>
        <v>#REF!</v>
      </c>
      <c r="F87" t="e">
        <f>IF('Test Suite'!#REF!="","",'Test Suite'!#REF!)</f>
        <v>#REF!</v>
      </c>
    </row>
    <row r="88" spans="2:6" x14ac:dyDescent="0.3">
      <c r="B88" t="e">
        <f>_xlfn.CONCAT('Test Suite'!#REF!," / ",'Test Suite'!#REF!,"_",'Test Suite'!#REF!)</f>
        <v>#REF!</v>
      </c>
      <c r="D88" t="e">
        <f>_xlfn.CONCAT('Test Suite'!#REF!," ",'Test Suite'!#REF!)</f>
        <v>#REF!</v>
      </c>
      <c r="E88" t="e">
        <f>IF('Test Suite'!#REF!="","",'Test Suite'!#REF!)</f>
        <v>#REF!</v>
      </c>
      <c r="F88" t="e">
        <f>IF('Test Suite'!#REF!="","",'Test Suite'!#REF!)</f>
        <v>#REF!</v>
      </c>
    </row>
    <row r="89" spans="2:6" x14ac:dyDescent="0.3">
      <c r="B89" t="e">
        <f>_xlfn.CONCAT('Test Suite'!#REF!," / ",'Test Suite'!#REF!,"_",'Test Suite'!#REF!)</f>
        <v>#REF!</v>
      </c>
      <c r="D89" t="e">
        <f>_xlfn.CONCAT('Test Suite'!#REF!," ",'Test Suite'!#REF!)</f>
        <v>#REF!</v>
      </c>
      <c r="E89" t="e">
        <f>IF('Test Suite'!#REF!="","",'Test Suite'!#REF!)</f>
        <v>#REF!</v>
      </c>
      <c r="F89" t="e">
        <f>IF('Test Suite'!#REF!="","",'Test Suite'!#REF!)</f>
        <v>#REF!</v>
      </c>
    </row>
    <row r="90" spans="2:6" x14ac:dyDescent="0.3">
      <c r="B90" t="e">
        <f>_xlfn.CONCAT('Test Suite'!#REF!," / ",'Test Suite'!#REF!,"_",'Test Suite'!#REF!)</f>
        <v>#REF!</v>
      </c>
      <c r="D90" t="e">
        <f>_xlfn.CONCAT('Test Suite'!#REF!," ",'Test Suite'!#REF!)</f>
        <v>#REF!</v>
      </c>
      <c r="E90" t="e">
        <f>IF('Test Suite'!#REF!="","",'Test Suite'!#REF!)</f>
        <v>#REF!</v>
      </c>
      <c r="F90" t="e">
        <f>IF('Test Suite'!#REF!="","",'Test Suite'!#REF!)</f>
        <v>#REF!</v>
      </c>
    </row>
    <row r="91" spans="2:6" x14ac:dyDescent="0.3">
      <c r="B91" t="e">
        <f>_xlfn.CONCAT('Test Suite'!#REF!," / ",'Test Suite'!#REF!,"_",'Test Suite'!#REF!)</f>
        <v>#REF!</v>
      </c>
      <c r="D91" t="e">
        <f>_xlfn.CONCAT('Test Suite'!#REF!," ",'Test Suite'!#REF!)</f>
        <v>#REF!</v>
      </c>
      <c r="E91" t="e">
        <f>IF('Test Suite'!#REF!="","",'Test Suite'!#REF!)</f>
        <v>#REF!</v>
      </c>
      <c r="F91" t="e">
        <f>IF('Test Suite'!#REF!="","",'Test Suite'!#REF!)</f>
        <v>#REF!</v>
      </c>
    </row>
    <row r="92" spans="2:6" x14ac:dyDescent="0.3">
      <c r="B92" t="e">
        <f>_xlfn.CONCAT('Test Suite'!#REF!," / ",'Test Suite'!#REF!,"_",'Test Suite'!#REF!)</f>
        <v>#REF!</v>
      </c>
      <c r="D92" t="e">
        <f>_xlfn.CONCAT('Test Suite'!#REF!," ",'Test Suite'!#REF!)</f>
        <v>#REF!</v>
      </c>
      <c r="E92" t="e">
        <f>IF('Test Suite'!#REF!="","",'Test Suite'!#REF!)</f>
        <v>#REF!</v>
      </c>
      <c r="F92" t="e">
        <f>IF('Test Suite'!#REF!="","",'Test Suite'!#REF!)</f>
        <v>#REF!</v>
      </c>
    </row>
    <row r="93" spans="2:6" x14ac:dyDescent="0.3">
      <c r="B93" t="e">
        <f>_xlfn.CONCAT('Test Suite'!#REF!," / ",'Test Suite'!#REF!,"_",'Test Suite'!#REF!)</f>
        <v>#REF!</v>
      </c>
      <c r="D93" t="e">
        <f>_xlfn.CONCAT('Test Suite'!#REF!," ",'Test Suite'!#REF!)</f>
        <v>#REF!</v>
      </c>
      <c r="E93" t="e">
        <f>IF('Test Suite'!#REF!="","",'Test Suite'!#REF!)</f>
        <v>#REF!</v>
      </c>
      <c r="F93" t="e">
        <f>IF('Test Suite'!#REF!="","",'Test Suite'!#REF!)</f>
        <v>#REF!</v>
      </c>
    </row>
    <row r="94" spans="2:6" x14ac:dyDescent="0.3">
      <c r="B94" t="e">
        <f>_xlfn.CONCAT('Test Suite'!#REF!," / ",'Test Suite'!#REF!,"_",'Test Suite'!#REF!)</f>
        <v>#REF!</v>
      </c>
      <c r="D94" t="e">
        <f>_xlfn.CONCAT('Test Suite'!#REF!," ",'Test Suite'!#REF!)</f>
        <v>#REF!</v>
      </c>
      <c r="E94" t="e">
        <f>IF('Test Suite'!#REF!="","",'Test Suite'!#REF!)</f>
        <v>#REF!</v>
      </c>
      <c r="F94" t="e">
        <f>IF('Test Suite'!#REF!="","",'Test Suite'!#REF!)</f>
        <v>#REF!</v>
      </c>
    </row>
    <row r="95" spans="2:6" x14ac:dyDescent="0.3">
      <c r="B95" t="e">
        <f>_xlfn.CONCAT('Test Suite'!#REF!," / ",'Test Suite'!#REF!,"_",'Test Suite'!#REF!)</f>
        <v>#REF!</v>
      </c>
      <c r="D95" t="e">
        <f>_xlfn.CONCAT('Test Suite'!#REF!," ",'Test Suite'!#REF!)</f>
        <v>#REF!</v>
      </c>
      <c r="E95" t="e">
        <f>IF('Test Suite'!#REF!="","",'Test Suite'!#REF!)</f>
        <v>#REF!</v>
      </c>
      <c r="F95" t="e">
        <f>IF('Test Suite'!#REF!="","",'Test Suite'!#REF!)</f>
        <v>#REF!</v>
      </c>
    </row>
    <row r="96" spans="2:6" x14ac:dyDescent="0.3">
      <c r="B96" t="e">
        <f>_xlfn.CONCAT('Test Suite'!#REF!," / ",'Test Suite'!#REF!,"_",'Test Suite'!#REF!)</f>
        <v>#REF!</v>
      </c>
      <c r="D96" t="e">
        <f>_xlfn.CONCAT('Test Suite'!#REF!," ",'Test Suite'!#REF!)</f>
        <v>#REF!</v>
      </c>
      <c r="E96" t="e">
        <f>IF('Test Suite'!#REF!="","",'Test Suite'!#REF!)</f>
        <v>#REF!</v>
      </c>
      <c r="F96" t="e">
        <f>IF('Test Suite'!#REF!="","",'Test Suite'!#REF!)</f>
        <v>#REF!</v>
      </c>
    </row>
    <row r="97" spans="2:6" x14ac:dyDescent="0.3">
      <c r="B97" t="e">
        <f>_xlfn.CONCAT('Test Suite'!#REF!," / ",'Test Suite'!#REF!,"_",'Test Suite'!#REF!)</f>
        <v>#REF!</v>
      </c>
      <c r="D97" t="e">
        <f>_xlfn.CONCAT('Test Suite'!#REF!," ",'Test Suite'!#REF!)</f>
        <v>#REF!</v>
      </c>
      <c r="E97" t="e">
        <f>IF('Test Suite'!#REF!="","",'Test Suite'!#REF!)</f>
        <v>#REF!</v>
      </c>
      <c r="F97" t="e">
        <f>IF('Test Suite'!#REF!="","",'Test Suite'!#REF!)</f>
        <v>#REF!</v>
      </c>
    </row>
    <row r="98" spans="2:6" x14ac:dyDescent="0.3">
      <c r="B98" t="e">
        <f>_xlfn.CONCAT('Test Suite'!#REF!," / ",'Test Suite'!#REF!,"_",'Test Suite'!#REF!)</f>
        <v>#REF!</v>
      </c>
      <c r="D98" t="e">
        <f>_xlfn.CONCAT('Test Suite'!#REF!," ",'Test Suite'!#REF!)</f>
        <v>#REF!</v>
      </c>
      <c r="E98" t="e">
        <f>IF('Test Suite'!#REF!="","",'Test Suite'!#REF!)</f>
        <v>#REF!</v>
      </c>
      <c r="F98" t="e">
        <f>IF('Test Suite'!#REF!="","",'Test Suite'!#REF!)</f>
        <v>#REF!</v>
      </c>
    </row>
    <row r="99" spans="2:6" x14ac:dyDescent="0.3">
      <c r="B99" t="e">
        <f>_xlfn.CONCAT('Test Suite'!#REF!," / ",'Test Suite'!#REF!,"_",'Test Suite'!#REF!)</f>
        <v>#REF!</v>
      </c>
      <c r="D99" t="e">
        <f>_xlfn.CONCAT('Test Suite'!#REF!," ",'Test Suite'!#REF!)</f>
        <v>#REF!</v>
      </c>
      <c r="E99" t="e">
        <f>IF('Test Suite'!#REF!="","",'Test Suite'!#REF!)</f>
        <v>#REF!</v>
      </c>
      <c r="F99" t="e">
        <f>IF('Test Suite'!#REF!="","",'Test Suite'!#REF!)</f>
        <v>#REF!</v>
      </c>
    </row>
    <row r="100" spans="2:6" x14ac:dyDescent="0.3">
      <c r="B100" t="e">
        <f>_xlfn.CONCAT('Test Suite'!#REF!," / ",'Test Suite'!#REF!,"_",'Test Suite'!#REF!)</f>
        <v>#REF!</v>
      </c>
      <c r="D100" t="e">
        <f>_xlfn.CONCAT('Test Suite'!#REF!," ",'Test Suite'!#REF!)</f>
        <v>#REF!</v>
      </c>
      <c r="E100" t="e">
        <f>IF('Test Suite'!#REF!="","",'Test Suite'!#REF!)</f>
        <v>#REF!</v>
      </c>
      <c r="F100" t="e">
        <f>IF('Test Suite'!#REF!="","",'Test Suite'!#REF!)</f>
        <v>#REF!</v>
      </c>
    </row>
    <row r="101" spans="2:6" x14ac:dyDescent="0.3">
      <c r="B101" t="e">
        <f>_xlfn.CONCAT('Test Suite'!#REF!," / ",'Test Suite'!#REF!,"_",'Test Suite'!#REF!)</f>
        <v>#REF!</v>
      </c>
      <c r="D101" t="e">
        <f>_xlfn.CONCAT('Test Suite'!#REF!," ",'Test Suite'!#REF!)</f>
        <v>#REF!</v>
      </c>
      <c r="E101" t="e">
        <f>IF('Test Suite'!#REF!="","",'Test Suite'!#REF!)</f>
        <v>#REF!</v>
      </c>
      <c r="F101" t="e">
        <f>IF('Test Suite'!#REF!="","",'Test Suite'!#REF!)</f>
        <v>#REF!</v>
      </c>
    </row>
    <row r="102" spans="2:6" x14ac:dyDescent="0.3">
      <c r="B102" t="e">
        <f>_xlfn.CONCAT('Test Suite'!#REF!," / ",'Test Suite'!#REF!,"_",'Test Suite'!#REF!)</f>
        <v>#REF!</v>
      </c>
      <c r="D102" t="e">
        <f>_xlfn.CONCAT('Test Suite'!#REF!," ",'Test Suite'!#REF!)</f>
        <v>#REF!</v>
      </c>
      <c r="E102" t="e">
        <f>IF('Test Suite'!#REF!="","",'Test Suite'!#REF!)</f>
        <v>#REF!</v>
      </c>
      <c r="F102" t="e">
        <f>IF('Test Suite'!#REF!="","",'Test Suite'!#REF!)</f>
        <v>#REF!</v>
      </c>
    </row>
    <row r="103" spans="2:6" x14ac:dyDescent="0.3">
      <c r="B103" t="e">
        <f>_xlfn.CONCAT('Test Suite'!#REF!," / ",'Test Suite'!#REF!,"_",'Test Suite'!#REF!)</f>
        <v>#REF!</v>
      </c>
      <c r="D103" t="e">
        <f>_xlfn.CONCAT('Test Suite'!#REF!," ",'Test Suite'!#REF!)</f>
        <v>#REF!</v>
      </c>
      <c r="E103" t="e">
        <f>IF('Test Suite'!#REF!="","",'Test Suite'!#REF!)</f>
        <v>#REF!</v>
      </c>
      <c r="F103" t="e">
        <f>IF('Test Suite'!#REF!="","",'Test Suite'!#REF!)</f>
        <v>#REF!</v>
      </c>
    </row>
    <row r="104" spans="2:6" x14ac:dyDescent="0.3">
      <c r="B104" t="e">
        <f>_xlfn.CONCAT('Test Suite'!#REF!," / ",'Test Suite'!#REF!,"_",'Test Suite'!#REF!)</f>
        <v>#REF!</v>
      </c>
      <c r="D104" t="e">
        <f>_xlfn.CONCAT('Test Suite'!#REF!," ",'Test Suite'!#REF!)</f>
        <v>#REF!</v>
      </c>
      <c r="E104" t="e">
        <f>IF('Test Suite'!#REF!="","",'Test Suite'!#REF!)</f>
        <v>#REF!</v>
      </c>
      <c r="F104" t="e">
        <f>IF('Test Suite'!#REF!="","",'Test Suite'!#REF!)</f>
        <v>#REF!</v>
      </c>
    </row>
    <row r="105" spans="2:6" x14ac:dyDescent="0.3">
      <c r="B105" t="e">
        <f>_xlfn.CONCAT('Test Suite'!#REF!," / ",'Test Suite'!#REF!,"_",'Test Suite'!#REF!)</f>
        <v>#REF!</v>
      </c>
      <c r="D105" t="e">
        <f>_xlfn.CONCAT('Test Suite'!#REF!," ",'Test Suite'!#REF!)</f>
        <v>#REF!</v>
      </c>
      <c r="E105" t="e">
        <f>IF('Test Suite'!#REF!="","",'Test Suite'!#REF!)</f>
        <v>#REF!</v>
      </c>
      <c r="F105" t="e">
        <f>IF('Test Suite'!#REF!="","",'Test Suite'!#REF!)</f>
        <v>#REF!</v>
      </c>
    </row>
    <row r="106" spans="2:6" x14ac:dyDescent="0.3">
      <c r="B106" t="e">
        <f>_xlfn.CONCAT('Test Suite'!#REF!," / ",'Test Suite'!#REF!,"_",'Test Suite'!#REF!)</f>
        <v>#REF!</v>
      </c>
      <c r="D106" t="e">
        <f>_xlfn.CONCAT('Test Suite'!#REF!," ",'Test Suite'!#REF!)</f>
        <v>#REF!</v>
      </c>
      <c r="E106" t="e">
        <f>IF('Test Suite'!#REF!="","",'Test Suite'!#REF!)</f>
        <v>#REF!</v>
      </c>
      <c r="F106" t="e">
        <f>IF('Test Suite'!#REF!="","",'Test Suite'!#REF!)</f>
        <v>#REF!</v>
      </c>
    </row>
    <row r="107" spans="2:6" x14ac:dyDescent="0.3">
      <c r="B107" t="e">
        <f>_xlfn.CONCAT('Test Suite'!#REF!," / ",'Test Suite'!#REF!,"_",'Test Suite'!#REF!)</f>
        <v>#REF!</v>
      </c>
      <c r="D107" t="e">
        <f>_xlfn.CONCAT('Test Suite'!#REF!," ",'Test Suite'!#REF!)</f>
        <v>#REF!</v>
      </c>
      <c r="E107" t="e">
        <f>IF('Test Suite'!#REF!="","",'Test Suite'!#REF!)</f>
        <v>#REF!</v>
      </c>
      <c r="F107" t="e">
        <f>IF('Test Suite'!#REF!="","",'Test Suite'!#REF!)</f>
        <v>#REF!</v>
      </c>
    </row>
    <row r="108" spans="2:6" x14ac:dyDescent="0.3">
      <c r="B108" t="e">
        <f>_xlfn.CONCAT('Test Suite'!#REF!," / ",'Test Suite'!#REF!,"_",'Test Suite'!#REF!)</f>
        <v>#REF!</v>
      </c>
      <c r="D108" t="e">
        <f>_xlfn.CONCAT('Test Suite'!#REF!," ",'Test Suite'!#REF!)</f>
        <v>#REF!</v>
      </c>
      <c r="E108" t="e">
        <f>IF('Test Suite'!#REF!="","",'Test Suite'!#REF!)</f>
        <v>#REF!</v>
      </c>
      <c r="F108" t="e">
        <f>IF('Test Suite'!#REF!="","",'Test Suite'!#REF!)</f>
        <v>#REF!</v>
      </c>
    </row>
    <row r="109" spans="2:6" x14ac:dyDescent="0.3">
      <c r="B109" t="e">
        <f>_xlfn.CONCAT('Test Suite'!#REF!," / ",'Test Suite'!#REF!,"_",'Test Suite'!#REF!)</f>
        <v>#REF!</v>
      </c>
      <c r="D109" t="e">
        <f>_xlfn.CONCAT('Test Suite'!#REF!," ",'Test Suite'!#REF!)</f>
        <v>#REF!</v>
      </c>
      <c r="E109" t="e">
        <f>IF('Test Suite'!#REF!="","",'Test Suite'!#REF!)</f>
        <v>#REF!</v>
      </c>
      <c r="F109" t="e">
        <f>IF('Test Suite'!#REF!="","",'Test Suite'!#REF!)</f>
        <v>#REF!</v>
      </c>
    </row>
    <row r="110" spans="2:6" x14ac:dyDescent="0.3">
      <c r="B110" t="e">
        <f>_xlfn.CONCAT('Test Suite'!#REF!," / ",'Test Suite'!#REF!,"_",'Test Suite'!#REF!)</f>
        <v>#REF!</v>
      </c>
      <c r="D110" t="e">
        <f>_xlfn.CONCAT('Test Suite'!#REF!," ",'Test Suite'!#REF!)</f>
        <v>#REF!</v>
      </c>
      <c r="E110" t="e">
        <f>IF('Test Suite'!#REF!="","",'Test Suite'!#REF!)</f>
        <v>#REF!</v>
      </c>
      <c r="F110" t="e">
        <f>IF('Test Suite'!#REF!="","",'Test Suite'!#REF!)</f>
        <v>#REF!</v>
      </c>
    </row>
    <row r="111" spans="2:6" x14ac:dyDescent="0.3">
      <c r="B111" t="e">
        <f>_xlfn.CONCAT('Test Suite'!#REF!," / ",'Test Suite'!#REF!,"_",'Test Suite'!#REF!)</f>
        <v>#REF!</v>
      </c>
      <c r="D111" t="e">
        <f>_xlfn.CONCAT('Test Suite'!#REF!," ",'Test Suite'!#REF!)</f>
        <v>#REF!</v>
      </c>
      <c r="E111" t="e">
        <f>IF('Test Suite'!#REF!="","",'Test Suite'!#REF!)</f>
        <v>#REF!</v>
      </c>
      <c r="F111" t="e">
        <f>IF('Test Suite'!#REF!="","",'Test Suite'!#REF!)</f>
        <v>#REF!</v>
      </c>
    </row>
    <row r="112" spans="2:6" x14ac:dyDescent="0.3">
      <c r="B112" t="e">
        <f>_xlfn.CONCAT('Test Suite'!#REF!," / ",'Test Suite'!#REF!,"_",'Test Suite'!#REF!)</f>
        <v>#REF!</v>
      </c>
      <c r="D112" t="e">
        <f>_xlfn.CONCAT('Test Suite'!#REF!," ",'Test Suite'!#REF!)</f>
        <v>#REF!</v>
      </c>
      <c r="E112" t="e">
        <f>IF('Test Suite'!#REF!="","",'Test Suite'!#REF!)</f>
        <v>#REF!</v>
      </c>
      <c r="F112" t="e">
        <f>IF('Test Suite'!#REF!="","",'Test Suite'!#REF!)</f>
        <v>#REF!</v>
      </c>
    </row>
    <row r="113" spans="2:6" x14ac:dyDescent="0.3">
      <c r="B113" t="e">
        <f>_xlfn.CONCAT('Test Suite'!#REF!," / ",'Test Suite'!#REF!,"_",'Test Suite'!#REF!)</f>
        <v>#REF!</v>
      </c>
      <c r="D113" t="e">
        <f>_xlfn.CONCAT('Test Suite'!#REF!," ",'Test Suite'!#REF!)</f>
        <v>#REF!</v>
      </c>
      <c r="E113" t="e">
        <f>IF('Test Suite'!#REF!="","",'Test Suite'!#REF!)</f>
        <v>#REF!</v>
      </c>
      <c r="F113" t="e">
        <f>IF('Test Suite'!#REF!="","",'Test Suite'!#REF!)</f>
        <v>#REF!</v>
      </c>
    </row>
    <row r="114" spans="2:6" x14ac:dyDescent="0.3">
      <c r="B114" t="e">
        <f>_xlfn.CONCAT('Test Suite'!#REF!," / ",'Test Suite'!#REF!,"_",'Test Suite'!#REF!)</f>
        <v>#REF!</v>
      </c>
      <c r="D114" t="e">
        <f>_xlfn.CONCAT('Test Suite'!#REF!," ",'Test Suite'!#REF!)</f>
        <v>#REF!</v>
      </c>
      <c r="E114" t="e">
        <f>IF('Test Suite'!#REF!="","",'Test Suite'!#REF!)</f>
        <v>#REF!</v>
      </c>
      <c r="F114" t="e">
        <f>IF('Test Suite'!#REF!="","",'Test Suite'!#REF!)</f>
        <v>#REF!</v>
      </c>
    </row>
    <row r="115" spans="2:6" x14ac:dyDescent="0.3">
      <c r="B115" t="e">
        <f>_xlfn.CONCAT('Test Suite'!#REF!," / ",'Test Suite'!#REF!,"_",'Test Suite'!#REF!)</f>
        <v>#REF!</v>
      </c>
      <c r="D115" t="e">
        <f>_xlfn.CONCAT('Test Suite'!#REF!," ",'Test Suite'!#REF!)</f>
        <v>#REF!</v>
      </c>
      <c r="E115" t="e">
        <f>IF('Test Suite'!#REF!="","",'Test Suite'!#REF!)</f>
        <v>#REF!</v>
      </c>
      <c r="F115" t="e">
        <f>IF('Test Suite'!#REF!="","",'Test Suite'!#REF!)</f>
        <v>#REF!</v>
      </c>
    </row>
    <row r="116" spans="2:6" x14ac:dyDescent="0.3">
      <c r="B116" t="e">
        <f>_xlfn.CONCAT('Test Suite'!#REF!," / ",'Test Suite'!#REF!,"_",'Test Suite'!#REF!)</f>
        <v>#REF!</v>
      </c>
      <c r="D116" t="e">
        <f>_xlfn.CONCAT('Test Suite'!#REF!," ",'Test Suite'!#REF!)</f>
        <v>#REF!</v>
      </c>
      <c r="E116" t="e">
        <f>IF('Test Suite'!#REF!="","",'Test Suite'!#REF!)</f>
        <v>#REF!</v>
      </c>
      <c r="F116" t="e">
        <f>IF('Test Suite'!#REF!="","",'Test Suite'!#REF!)</f>
        <v>#REF!</v>
      </c>
    </row>
    <row r="117" spans="2:6" x14ac:dyDescent="0.3">
      <c r="B117" t="e">
        <f>_xlfn.CONCAT('Test Suite'!#REF!," / ",'Test Suite'!#REF!,"_",'Test Suite'!#REF!)</f>
        <v>#REF!</v>
      </c>
      <c r="D117" t="e">
        <f>_xlfn.CONCAT('Test Suite'!#REF!," ",'Test Suite'!#REF!)</f>
        <v>#REF!</v>
      </c>
      <c r="E117" t="e">
        <f>IF('Test Suite'!#REF!="","",'Test Suite'!#REF!)</f>
        <v>#REF!</v>
      </c>
      <c r="F117" t="e">
        <f>IF('Test Suite'!#REF!="","",'Test Suite'!#REF!)</f>
        <v>#REF!</v>
      </c>
    </row>
    <row r="118" spans="2:6" x14ac:dyDescent="0.3">
      <c r="B118" t="e">
        <f>_xlfn.CONCAT('Test Suite'!#REF!," / ",'Test Suite'!#REF!,"_",'Test Suite'!#REF!)</f>
        <v>#REF!</v>
      </c>
      <c r="D118" t="e">
        <f>_xlfn.CONCAT('Test Suite'!#REF!," ",'Test Suite'!#REF!)</f>
        <v>#REF!</v>
      </c>
      <c r="E118" t="e">
        <f>IF('Test Suite'!#REF!="","",'Test Suite'!#REF!)</f>
        <v>#REF!</v>
      </c>
      <c r="F118" t="e">
        <f>IF('Test Suite'!#REF!="","",'Test Suite'!#REF!)</f>
        <v>#REF!</v>
      </c>
    </row>
    <row r="119" spans="2:6" x14ac:dyDescent="0.3">
      <c r="B119" t="e">
        <f>_xlfn.CONCAT('Test Suite'!#REF!," / ",'Test Suite'!#REF!,"_",'Test Suite'!#REF!)</f>
        <v>#REF!</v>
      </c>
      <c r="D119" t="e">
        <f>_xlfn.CONCAT('Test Suite'!#REF!," ",'Test Suite'!#REF!)</f>
        <v>#REF!</v>
      </c>
      <c r="E119" t="e">
        <f>IF('Test Suite'!#REF!="","",'Test Suite'!#REF!)</f>
        <v>#REF!</v>
      </c>
      <c r="F119" t="e">
        <f>IF('Test Suite'!#REF!="","",'Test Suite'!#REF!)</f>
        <v>#REF!</v>
      </c>
    </row>
    <row r="120" spans="2:6" x14ac:dyDescent="0.3">
      <c r="B120" t="e">
        <f>_xlfn.CONCAT('Test Suite'!#REF!," / ",'Test Suite'!#REF!,"_",'Test Suite'!#REF!)</f>
        <v>#REF!</v>
      </c>
      <c r="D120" t="e">
        <f>_xlfn.CONCAT('Test Suite'!#REF!," ",'Test Suite'!#REF!)</f>
        <v>#REF!</v>
      </c>
      <c r="E120" t="e">
        <f>IF('Test Suite'!#REF!="","",'Test Suite'!#REF!)</f>
        <v>#REF!</v>
      </c>
      <c r="F120" t="e">
        <f>IF('Test Suite'!#REF!="","",'Test Suite'!#REF!)</f>
        <v>#REF!</v>
      </c>
    </row>
    <row r="121" spans="2:6" x14ac:dyDescent="0.3">
      <c r="B121" t="e">
        <f>_xlfn.CONCAT('Test Suite'!#REF!," / ",'Test Suite'!#REF!,"_",'Test Suite'!#REF!)</f>
        <v>#REF!</v>
      </c>
      <c r="D121" t="e">
        <f>_xlfn.CONCAT('Test Suite'!#REF!," ",'Test Suite'!#REF!)</f>
        <v>#REF!</v>
      </c>
      <c r="E121" t="e">
        <f>IF('Test Suite'!#REF!="","",'Test Suite'!#REF!)</f>
        <v>#REF!</v>
      </c>
      <c r="F121" t="e">
        <f>IF('Test Suite'!#REF!="","",'Test Suite'!#REF!)</f>
        <v>#REF!</v>
      </c>
    </row>
    <row r="122" spans="2:6" x14ac:dyDescent="0.3">
      <c r="B122" t="e">
        <f>_xlfn.CONCAT('Test Suite'!#REF!," / ",'Test Suite'!#REF!,"_",'Test Suite'!#REF!)</f>
        <v>#REF!</v>
      </c>
      <c r="D122" t="e">
        <f>_xlfn.CONCAT('Test Suite'!#REF!," ",'Test Suite'!#REF!)</f>
        <v>#REF!</v>
      </c>
      <c r="E122" t="e">
        <f>IF('Test Suite'!#REF!="","",'Test Suite'!#REF!)</f>
        <v>#REF!</v>
      </c>
      <c r="F122" t="e">
        <f>IF('Test Suite'!#REF!="","",'Test Suite'!#REF!)</f>
        <v>#REF!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B6E1B-4BEB-410A-A9CA-853508F349A4}">
  <dimension ref="A1:F3"/>
  <sheetViews>
    <sheetView workbookViewId="0"/>
  </sheetViews>
  <sheetFormatPr defaultColWidth="11.44140625" defaultRowHeight="14.4" x14ac:dyDescent="0.3"/>
  <cols>
    <col min="1" max="1" width="25.33203125" customWidth="1"/>
    <col min="2" max="2" width="9.109375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186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  <row r="3" spans="1:6" x14ac:dyDescent="0.3">
      <c r="A3" s="64" t="s">
        <v>191</v>
      </c>
      <c r="B3" t="s">
        <v>187</v>
      </c>
      <c r="C3" t="s">
        <v>192</v>
      </c>
      <c r="D3" s="63" t="s">
        <v>189</v>
      </c>
      <c r="E3" t="s">
        <v>190</v>
      </c>
      <c r="F3" t="s">
        <v>190</v>
      </c>
    </row>
  </sheetData>
  <phoneticPr fontId="11" type="noConversion"/>
  <hyperlinks>
    <hyperlink ref="A2" location="'Test Suite'!F11" display="TC003 🔗" xr:uid="{5B522B9C-6C3C-4A9E-AAB1-E2559FD34C03}"/>
    <hyperlink ref="A3" location="'Test Suite'!F15" display="TC004 🔗" xr:uid="{3961500A-6DF9-4B74-8276-45236F8BD97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8483-D598-4C80-9C21-269F13FAC862}">
  <sheetPr codeName="Hoja7"/>
  <dimension ref="A1:F3"/>
  <sheetViews>
    <sheetView tabSelected="1" workbookViewId="0">
      <selection activeCell="B2" sqref="B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17</v>
      </c>
      <c r="C1" t="s">
        <v>224</v>
      </c>
      <c r="D1" t="s">
        <v>225</v>
      </c>
      <c r="E1" t="s">
        <v>226</v>
      </c>
      <c r="F1" t="s">
        <v>227</v>
      </c>
    </row>
    <row r="2" spans="1:6" x14ac:dyDescent="0.3">
      <c r="A2" s="64" t="s">
        <v>157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  <row r="3" spans="1:6" x14ac:dyDescent="0.3">
      <c r="A3" s="64"/>
      <c r="D3" s="63"/>
    </row>
  </sheetData>
  <phoneticPr fontId="11" type="noConversion"/>
  <hyperlinks>
    <hyperlink ref="A2" location="'Test Suite'!F11" display="TC003 🔗" xr:uid="{2BC4DE3F-1A71-4BAE-B1D1-F4017E1CEB8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A3BB-5340-4251-A3E6-57A7D156CC8B}">
  <dimension ref="A1:F2"/>
  <sheetViews>
    <sheetView workbookViewId="0">
      <selection activeCell="A2" sqref="A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193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3" display="TC006 🔗" xr:uid="{EE99B2E7-8B6D-4117-94E5-4B279B91155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8FEAF-E7CD-409E-9462-DE43945E2AA2}">
  <dimension ref="A1:F2"/>
  <sheetViews>
    <sheetView workbookViewId="0">
      <selection activeCell="C10" sqref="C10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193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3" display="TC006 🔗" xr:uid="{E6169C57-9054-45C4-BC0F-4ECF3819586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E632-79F8-4B26-B103-423663D6EED1}">
  <dimension ref="A1:F2"/>
  <sheetViews>
    <sheetView workbookViewId="0">
      <selection activeCell="I22" sqref="I2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193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3" display="TC006 🔗" xr:uid="{723D7406-E18A-4A45-8AEC-B7F1F6CAF38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8669-FC44-4F47-BD99-9CAED93EF7DF}">
  <dimension ref="A1:F2"/>
  <sheetViews>
    <sheetView workbookViewId="0">
      <selection activeCell="C10" sqref="C10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193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3" display="TC006 🔗" xr:uid="{BCE7FD6F-D89E-4E49-A164-DDE22454ADB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7382-BCE5-42C6-BA76-7F33B693BB5D}">
  <dimension ref="A1:F2"/>
  <sheetViews>
    <sheetView workbookViewId="0">
      <selection activeCell="C10" sqref="C10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193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3" display="TC006 🔗" xr:uid="{634EE735-EA27-4DD4-9B3F-272F904C48F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9521-41D6-482E-922A-03A92540AE43}">
  <sheetPr codeName="Hoja9"/>
  <dimension ref="A1:F2"/>
  <sheetViews>
    <sheetView workbookViewId="0">
      <selection activeCell="A2" sqref="A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172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A524-2041-480D-B073-E106549AE44F}">
  <sheetPr codeName="Hoja10"/>
  <dimension ref="A1:F2"/>
  <sheetViews>
    <sheetView workbookViewId="0">
      <selection activeCell="A2" sqref="A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194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C32D1B44-3719-4613-B00D-F1B3064248DE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34EF-1E18-4E1F-8267-337F337B930B}">
  <dimension ref="A1:F2"/>
  <sheetViews>
    <sheetView workbookViewId="0">
      <selection activeCell="A2" sqref="A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194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95DECA29-5E54-4CBE-BE19-CCF0E6F7DAD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F3FF-CE99-4E36-BA75-3D5D6DE10C65}">
  <dimension ref="A1:F2"/>
  <sheetViews>
    <sheetView workbookViewId="0">
      <selection activeCell="A2" sqref="A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194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050C2154-340E-492F-8152-2E278C8BB6C2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F9E3-51F7-4E72-8A69-C2FDC34E04CC}">
  <dimension ref="A1:F2"/>
  <sheetViews>
    <sheetView workbookViewId="0">
      <selection activeCell="A2" sqref="A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194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ED601558-4269-44AF-A42D-90DBA6BAF86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4A24-25F7-40AA-94A6-B084F52FECE4}">
  <dimension ref="A1:F2"/>
  <sheetViews>
    <sheetView workbookViewId="0">
      <selection activeCell="A2" sqref="A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194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3BDD2F1F-A4C9-4423-B2C7-9554EA4D7DEA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320F-0FB3-4272-B427-D670EFAC6508}">
  <dimension ref="A1:F2"/>
  <sheetViews>
    <sheetView workbookViewId="0">
      <selection activeCell="A2" sqref="A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194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BCF8DEE6-A2B2-4D0A-85F7-886B5408BCA3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F945-0ABD-4B0C-8970-313456B50E8F}">
  <dimension ref="A1:F2"/>
  <sheetViews>
    <sheetView workbookViewId="0">
      <selection activeCell="A2" sqref="A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676E8820-7D1F-4EC7-A7A4-7B0BFF33C0F5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EA6EC-BD32-4C7B-B770-5C2824B6F120}">
  <dimension ref="A1:F2"/>
  <sheetViews>
    <sheetView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B6BA63A9-4812-467C-AD7C-7E40B8820961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8703-012F-4D98-8F32-396D2E755F62}">
  <dimension ref="A1:F2"/>
  <sheetViews>
    <sheetView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680FFF0C-7F87-41D5-8782-157267A488DD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86AF5-CC72-4BB6-831B-39BB38E6AEA2}">
  <dimension ref="A1:F2"/>
  <sheetViews>
    <sheetView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C76A9F56-50FF-4627-8170-13CEBE3E5D45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4710-D827-43A4-A2A0-9B5DF8786961}">
  <dimension ref="A1:F2"/>
  <sheetViews>
    <sheetView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27947DB2-0E1F-42B6-AF9A-7DE6BE3722A9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7AE7-B9E3-4948-B236-16A0EE545F2C}">
  <dimension ref="A1:F2"/>
  <sheetViews>
    <sheetView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7774B6C2-63E8-40C4-9336-69FD2BD774DF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813E-7523-42ED-9D1D-CF518743E0F2}">
  <dimension ref="A1:F2"/>
  <sheetViews>
    <sheetView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95BB1755-3057-4A71-88F1-25FFD39E31F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6B424-297B-4018-90BB-22B659704855}">
  <dimension ref="A1:F2"/>
  <sheetViews>
    <sheetView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E2D406B8-786E-48F2-AA47-2DCAF4405C85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D84D-E072-410B-9A69-03A2DC6EE2CE}">
  <dimension ref="A1:F2"/>
  <sheetViews>
    <sheetView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8C6BB9E7-724D-49E8-A5ED-A47792B3EE93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AFE4-7141-47D6-8802-0D6D3320B475}">
  <dimension ref="A1:F2"/>
  <sheetViews>
    <sheetView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D9D74623-2F4F-456E-A64C-4DD7F15EDA5A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85C1-CD7B-455E-9363-723BF26A6E64}">
  <dimension ref="A1:F2"/>
  <sheetViews>
    <sheetView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D4CE7888-16D3-4F47-94C2-33FB7484A825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B12D6-BC4D-48CC-9961-C990F95618EF}">
  <dimension ref="A1:F2"/>
  <sheetViews>
    <sheetView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A0BE02AF-132A-46FA-8CDB-EBE90431E5C5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208C-2DE7-4CF2-9C86-DCEC835926CF}">
  <dimension ref="A1:F2"/>
  <sheetViews>
    <sheetView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FB720ADD-A16A-412B-B383-6C4866D564BD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1CE5-EFF1-4F15-A024-368740230134}">
  <dimension ref="A1:F2"/>
  <sheetViews>
    <sheetView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AA7A3A51-0046-4911-B424-A7E99CA867A8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C7BCD-8EBA-452C-A270-B1A02503FC74}">
  <dimension ref="A1:F2"/>
  <sheetViews>
    <sheetView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38F21908-5D96-406A-BA74-18B50BE25ACC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BB50-B28F-4693-AE7B-D036557E360F}">
  <dimension ref="A1:F2"/>
  <sheetViews>
    <sheetView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E06410BB-12CE-436E-B998-6F1A48B69F54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2A6C-E3F6-4F76-9F02-1ADD1DD0EB36}">
  <dimension ref="A1:F2"/>
  <sheetViews>
    <sheetView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795C4774-6C3E-4DDB-B526-56F0C0AB19ED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B064C-EC58-4F8E-9DEA-F790837B92D6}">
  <dimension ref="A1:F2"/>
  <sheetViews>
    <sheetView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069818E1-2094-4F2E-B13B-42A9EE8B86C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B7A06-74AA-453D-A8A2-8680326D25BA}">
  <dimension ref="A1:F2"/>
  <sheetViews>
    <sheetView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586A658B-70C1-4ACB-97C2-1A0E58BC1D2D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7DC9-82CA-4337-9E02-0996C5B4E4C7}">
  <dimension ref="A1:F2"/>
  <sheetViews>
    <sheetView topLeftCell="A4"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B2B36B2A-AB2D-4B76-ADB0-ACBF95F58A68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36804-F975-47E2-9DE2-F6F3D29A2E83}">
  <dimension ref="A1:F2"/>
  <sheetViews>
    <sheetView topLeftCell="A7"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5F505149-06DA-4E5B-A108-982C7A4E1738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C1FC-D998-49A1-A260-D2F392CDC2A5}">
  <dimension ref="A1:F2"/>
  <sheetViews>
    <sheetView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F71C3231-866D-47A6-9D4C-99129099910E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50D89-1CF5-4C99-919D-6000E79A1312}">
  <dimension ref="A1:F2"/>
  <sheetViews>
    <sheetView topLeftCell="A28" workbookViewId="0">
      <selection activeCell="F21" sqref="F21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88F03F3F-DC75-4540-8109-41F198A5DB68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E25C1-8E17-4C26-9789-F1241F833766}">
  <dimension ref="A1:F2"/>
  <sheetViews>
    <sheetView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C556ED18-56F6-426E-B6C0-5E8913A83966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CBA8-1659-4491-9F20-FF072E3FAACB}">
  <dimension ref="A1:F2"/>
  <sheetViews>
    <sheetView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5568384D-0D49-40EF-B92C-24586A7BFD80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1050-2468-4A2A-B2D0-A60853F7E9AD}">
  <dimension ref="A1:F2"/>
  <sheetViews>
    <sheetView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A2FC3211-5237-470D-8C0E-7261D5CACFFD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3E39-F801-42D1-B219-0C728DEC5881}">
  <dimension ref="A1:F2"/>
  <sheetViews>
    <sheetView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8B2EDD31-7AF8-4D60-B1CD-DD69F5A29C58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8D21-B984-4EB4-A4FF-12CD5761DAB4}">
  <dimension ref="A1:F2"/>
  <sheetViews>
    <sheetView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CF949313-0A31-41DD-A31A-EDEBCC3496FC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D4FA-C4AA-473F-B940-68E2FE7700AB}">
  <dimension ref="A1:F2"/>
  <sheetViews>
    <sheetView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D94A92BD-471C-4BDD-90A2-53BAAA573A9D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87EFE-2760-4BBD-8297-9172999AF02F}">
  <dimension ref="A1:F2"/>
  <sheetViews>
    <sheetView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47B7E24D-68A9-4C9F-95C7-4D8398FC02A2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2664-308A-4D7B-A1BD-1AD34D64C1FB}">
  <dimension ref="A1:F2"/>
  <sheetViews>
    <sheetView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6618B717-4C2A-497C-8E24-AAC1E3643099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DA067-554D-4A84-9926-357651350AEE}">
  <dimension ref="A1:F2"/>
  <sheetViews>
    <sheetView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7AE389B3-68E5-48DA-A377-100CDFCC734A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2535-B3FC-463A-B949-8A81C3125EB6}">
  <dimension ref="A1:F2"/>
  <sheetViews>
    <sheetView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FA333F5F-61C3-4875-9934-6CF506BF1C91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3BEC-770A-4258-91E9-4A80A0C97C76}">
  <dimension ref="A1:F2"/>
  <sheetViews>
    <sheetView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84EB7EC1-99C3-423C-8B52-6862141A2254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5813-FFAD-478B-8BDC-74C2FFD3B215}">
  <dimension ref="A1:F2"/>
  <sheetViews>
    <sheetView workbookViewId="0">
      <selection activeCell="K35" sqref="K35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6225F489-84C2-40F3-8522-FA252293B7B9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3A94-644C-413D-99EC-CC4C42131559}">
  <dimension ref="A1:F2"/>
  <sheetViews>
    <sheetView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96032C4E-4209-4390-BA5B-1AD3727F3AD6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8949-E9C9-4EAC-8665-B93EF6CDEFD8}">
  <dimension ref="A1:F2"/>
  <sheetViews>
    <sheetView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31FD05F0-2343-4CB6-B30A-CE55BF2FD9CB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798D-0CD0-4C2B-9163-FB7D7B673BEE}">
  <dimension ref="A1:F2"/>
  <sheetViews>
    <sheetView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708C6049-7DFC-4D3B-8F7E-07E8FF4D3613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6251-791A-40DA-9218-BE07F4D397AC}">
  <dimension ref="A1:F2"/>
  <sheetViews>
    <sheetView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A9297223-9B64-4A8F-AC70-FB0E08366D63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5B92-AAFC-4ED1-B7F9-6CD38A78105E}">
  <dimension ref="A1:F2"/>
  <sheetViews>
    <sheetView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18DF994A-87E6-4A38-8A95-A6F311160215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1AA0-42FC-46E3-A415-29341E9FAC07}">
  <dimension ref="A1:F2"/>
  <sheetViews>
    <sheetView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5A953CF2-4E18-4FEA-8966-41F950F02D4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87E37-A5D8-4F8B-88DB-43C2C93A9820}">
  <dimension ref="A1:F2"/>
  <sheetViews>
    <sheetView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0610FF46-A820-4B53-90DA-9AA6E5165F6C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20775-E04C-4C66-B11D-68BAF3B3D823}">
  <dimension ref="A1:F2"/>
  <sheetViews>
    <sheetView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FB46FE4F-B57F-4D83-9025-EEF02D0E3419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417A-91F1-432C-AB5B-D82C2150DF5F}">
  <dimension ref="A1:F2"/>
  <sheetViews>
    <sheetView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013E9CA8-D720-430D-AD92-56209054CD49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6CE9-C5EE-4139-810E-FA7C8F46112C}">
  <dimension ref="A1:F2"/>
  <sheetViews>
    <sheetView topLeftCell="A19" workbookViewId="0">
      <selection activeCell="K32" sqref="K32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0369F31E-7681-4661-9715-DDAC379E6D10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8D35-DDED-4F40-B4CC-2FE9A9B6651E}">
  <dimension ref="A1:F2"/>
  <sheetViews>
    <sheetView topLeftCell="A19" workbookViewId="0">
      <selection activeCell="H44" sqref="H44"/>
    </sheetView>
  </sheetViews>
  <sheetFormatPr defaultColWidth="11.44140625" defaultRowHeight="14.4" x14ac:dyDescent="0.3"/>
  <cols>
    <col min="1" max="1" width="25.33203125" customWidth="1"/>
    <col min="3" max="3" width="20.88671875" bestFit="1" customWidth="1"/>
    <col min="4" max="4" width="16.66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s="64" t="s">
        <v>195</v>
      </c>
      <c r="B2" t="s">
        <v>187</v>
      </c>
      <c r="C2" t="s">
        <v>188</v>
      </c>
      <c r="D2" s="63" t="s">
        <v>189</v>
      </c>
      <c r="E2" t="s">
        <v>190</v>
      </c>
      <c r="F2" t="s">
        <v>190</v>
      </c>
    </row>
  </sheetData>
  <hyperlinks>
    <hyperlink ref="A2" location="'Test Suite'!F27" display="TC007 🔗" xr:uid="{BE36A481-A6A0-4D94-B8E0-9C0D254EA3A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123FDB77BD894FA6CE6F875E176E1C" ma:contentTypeVersion="3" ma:contentTypeDescription="Create a new document." ma:contentTypeScope="" ma:versionID="54bcf312aa524a93479e7d15df98376c">
  <xsd:schema xmlns:xsd="http://www.w3.org/2001/XMLSchema" xmlns:xs="http://www.w3.org/2001/XMLSchema" xmlns:p="http://schemas.microsoft.com/office/2006/metadata/properties" xmlns:ns2="56870201-ce0b-4b30-afa4-52f81c399326" targetNamespace="http://schemas.microsoft.com/office/2006/metadata/properties" ma:root="true" ma:fieldsID="60b21d25207816c55934bb1aadbe3231" ns2:_="">
    <xsd:import namespace="56870201-ce0b-4b30-afa4-52f81c3993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70201-ce0b-4b30-afa4-52f81c3993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A126BB-3B34-4985-A638-3CB92ADDAD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0342FF-A7D1-44C9-9AD5-45CEA72A7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870201-ce0b-4b30-afa4-52f81c3993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AC56F0-2B05-48F1-A53C-D27795F2CC54}">
  <ds:schemaRefs>
    <ds:schemaRef ds:uri="http://schemas.microsoft.com/office/2006/metadata/properties"/>
    <ds:schemaRef ds:uri="56870201-ce0b-4b30-afa4-52f81c399326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67</vt:i4>
      </vt:variant>
      <vt:variant>
        <vt:lpstr>Named Ranges</vt:lpstr>
      </vt:variant>
      <vt:variant>
        <vt:i4>5</vt:i4>
      </vt:variant>
    </vt:vector>
  </HeadingPairs>
  <TitlesOfParts>
    <vt:vector size="72" baseType="lpstr">
      <vt:lpstr>Audit Trail</vt:lpstr>
      <vt:lpstr>Description</vt:lpstr>
      <vt:lpstr>Execution Metrics</vt:lpstr>
      <vt:lpstr>Defect Metrics 1</vt:lpstr>
      <vt:lpstr>Defect Metrics 2</vt:lpstr>
      <vt:lpstr>Test Suite</vt:lpstr>
      <vt:lpstr>JIRA_QP</vt:lpstr>
      <vt:lpstr>Perfil_DATA</vt:lpstr>
      <vt:lpstr>Usuario_DATA</vt:lpstr>
      <vt:lpstr>PolíticaContraseña_DATA</vt:lpstr>
      <vt:lpstr>PoderLegalUsuario_DATA</vt:lpstr>
      <vt:lpstr>PoderLegalAccesoUsuario_DATA</vt:lpstr>
      <vt:lpstr>PoderLegalCuentas_DATA</vt:lpstr>
      <vt:lpstr>PoderLegalAccesoCuentas_DATA</vt:lpstr>
      <vt:lpstr>Institucion_DATA</vt:lpstr>
      <vt:lpstr>Participante_DATA</vt:lpstr>
      <vt:lpstr>Emisor_DATA</vt:lpstr>
      <vt:lpstr>BancoLiquidador_DATA</vt:lpstr>
      <vt:lpstr>TechoComercial_DATA</vt:lpstr>
      <vt:lpstr>Regulador_DATA</vt:lpstr>
      <vt:lpstr>Cliente_DATA</vt:lpstr>
      <vt:lpstr>ProgramaEmisión_DATA</vt:lpstr>
      <vt:lpstr>CategoríaInstrumento_DATA</vt:lpstr>
      <vt:lpstr>TítuloValor_DATA</vt:lpstr>
      <vt:lpstr>ÍndiceVinculado_DATA</vt:lpstr>
      <vt:lpstr>DatoÍndiceVinculado_DATA</vt:lpstr>
      <vt:lpstr>CurvaRendimiento_DATA</vt:lpstr>
      <vt:lpstr>ImportarCurvaRendimiento_DATA</vt:lpstr>
      <vt:lpstr>CuentaValor_DATA</vt:lpstr>
      <vt:lpstr>CuentaEfectivo_DATA</vt:lpstr>
      <vt:lpstr>Subasta_DATA</vt:lpstr>
      <vt:lpstr>OfertasSubasta_DATA</vt:lpstr>
      <vt:lpstr>AcciónCorporativa_DATA</vt:lpstr>
      <vt:lpstr>SistemaLiquidaciónEfectivo_DATA</vt:lpstr>
      <vt:lpstr>CatálogodeParámetros_DATA</vt:lpstr>
      <vt:lpstr>ParámetrosdeConfiguración_DATA</vt:lpstr>
      <vt:lpstr>CódigosdeOperación_DATA</vt:lpstr>
      <vt:lpstr>EntregaLibrePago_DATA</vt:lpstr>
      <vt:lpstr>CompraVentaEcP_DATA</vt:lpstr>
      <vt:lpstr>AcuerdosdeRecompra_DATA</vt:lpstr>
      <vt:lpstr>CambioFechaRepo_DATA</vt:lpstr>
      <vt:lpstr>SustituciónColateralRepo_DATA</vt:lpstr>
      <vt:lpstr>Pignoraciones_DATA</vt:lpstr>
      <vt:lpstr>SustituciónColateralPigno_DATA</vt:lpstr>
      <vt:lpstr>LiberaciónPignoración_DATA</vt:lpstr>
      <vt:lpstr>EjecuciónPignoración_DATA</vt:lpstr>
      <vt:lpstr>CambioFechaPignoración_DATA</vt:lpstr>
      <vt:lpstr>Emisión_DATA</vt:lpstr>
      <vt:lpstr>Redención_DATA</vt:lpstr>
      <vt:lpstr>Intercambio_DATA</vt:lpstr>
      <vt:lpstr>DesinversiónAnticipada_DATA</vt:lpstr>
      <vt:lpstr>RegistrodeEmbargos_DATA</vt:lpstr>
      <vt:lpstr>DescuponarConsolidar_DATA</vt:lpstr>
      <vt:lpstr>CSDExternoEntrada_DATA</vt:lpstr>
      <vt:lpstr>CSDExternoSalida_DATA</vt:lpstr>
      <vt:lpstr>MovimientoIntraposición_DATA</vt:lpstr>
      <vt:lpstr>RepoIntradíaBancoCentral_DATA</vt:lpstr>
      <vt:lpstr>CalificacióndeRiesgo_DATA</vt:lpstr>
      <vt:lpstr>CalificacióndelEmisor_DATA</vt:lpstr>
      <vt:lpstr>ElegibilidadContraparte_DATA</vt:lpstr>
      <vt:lpstr>ElegibilidadTítulos_DATA</vt:lpstr>
      <vt:lpstr>EsquemaImpuestos_DATA</vt:lpstr>
      <vt:lpstr>Calendario_DATA</vt:lpstr>
      <vt:lpstr>Horario_DATA</vt:lpstr>
      <vt:lpstr>TasadeCambio_DATA</vt:lpstr>
      <vt:lpstr>Alertas_DATA</vt:lpstr>
      <vt:lpstr>Facturación_DATA</vt:lpstr>
      <vt:lpstr>'Defect Metrics 1'!Print_Area</vt:lpstr>
      <vt:lpstr>'Defect Metrics 2'!Print_Area</vt:lpstr>
      <vt:lpstr>'Execution Metrics'!Print_Area</vt:lpstr>
      <vt:lpstr>'Test Suite'!Print_Area</vt:lpstr>
      <vt:lpstr>'Test Suite'!Print_Titles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montran</dc:creator>
  <cp:keywords/>
  <dc:description/>
  <cp:lastModifiedBy>Johanna Gutiérrez</cp:lastModifiedBy>
  <cp:revision/>
  <dcterms:created xsi:type="dcterms:W3CDTF">2017-09-11T13:15:36Z</dcterms:created>
  <dcterms:modified xsi:type="dcterms:W3CDTF">2025-04-30T11:59:22Z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0x0101009B123FDB77BD894FA6CE6F875E176E1C</vt:lpwstr>
  </property>
</Properties>
</file>